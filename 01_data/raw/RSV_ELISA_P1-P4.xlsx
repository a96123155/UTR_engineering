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yanyi.chu/Documents/IRES-Dan/"/>
    </mc:Choice>
  </mc:AlternateContent>
  <xr:revisionPtr revIDLastSave="0" documentId="13_ncr:1_{529E4D2A-15E0-8F45-A6AA-498A26DC954F}" xr6:coauthVersionLast="47" xr6:coauthVersionMax="47" xr10:uidLastSave="{00000000-0000-0000-0000-000000000000}"/>
  <bookViews>
    <workbookView xWindow="6880" yWindow="1160" windowWidth="18760" windowHeight="17260" activeTab="2" xr2:uid="{A500C288-066F-4590-B417-E02EA574445B}"/>
  </bookViews>
  <sheets>
    <sheet name="Sheet1" sheetId="1" r:id="rId1"/>
    <sheet name="Sheet2" sheetId="2" r:id="rId2"/>
    <sheet name="final" sheetId="5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/>
  <c r="E50" i="1"/>
  <c r="F50" i="1"/>
  <c r="G50" i="1"/>
  <c r="H50" i="1"/>
  <c r="I50" i="1"/>
  <c r="J50" i="1"/>
  <c r="K50" i="1"/>
  <c r="L50" i="1"/>
  <c r="M50" i="1"/>
  <c r="N50" i="1"/>
  <c r="C51" i="1"/>
  <c r="D51" i="1"/>
  <c r="E51" i="1"/>
  <c r="F51" i="1"/>
  <c r="G51" i="1"/>
  <c r="H51" i="1"/>
  <c r="I51" i="1"/>
  <c r="J51" i="1"/>
  <c r="K51" i="1"/>
  <c r="L51" i="1"/>
  <c r="M51" i="1"/>
  <c r="N51" i="1"/>
  <c r="C52" i="1"/>
  <c r="D52" i="1"/>
  <c r="E52" i="1"/>
  <c r="F52" i="1"/>
  <c r="G52" i="1"/>
  <c r="H52" i="1"/>
  <c r="I52" i="1"/>
  <c r="J52" i="1"/>
  <c r="K52" i="1"/>
  <c r="L52" i="1"/>
  <c r="M52" i="1"/>
  <c r="N52" i="1"/>
  <c r="C53" i="1"/>
  <c r="D53" i="1"/>
  <c r="E53" i="1"/>
  <c r="F53" i="1"/>
  <c r="G53" i="1"/>
  <c r="H53" i="1"/>
  <c r="I53" i="1"/>
  <c r="J53" i="1"/>
  <c r="K53" i="1"/>
  <c r="L53" i="1"/>
  <c r="M53" i="1"/>
  <c r="N53" i="1"/>
  <c r="C54" i="1"/>
  <c r="D54" i="1"/>
  <c r="E54" i="1"/>
  <c r="F54" i="1"/>
  <c r="G54" i="1"/>
  <c r="H54" i="1"/>
  <c r="I54" i="1"/>
  <c r="J54" i="1"/>
  <c r="K54" i="1"/>
  <c r="L54" i="1"/>
  <c r="M54" i="1"/>
  <c r="N54" i="1"/>
  <c r="C55" i="1"/>
  <c r="D55" i="1"/>
  <c r="E55" i="1"/>
  <c r="F55" i="1"/>
  <c r="G55" i="1"/>
  <c r="H55" i="1"/>
  <c r="I55" i="1"/>
  <c r="J55" i="1"/>
  <c r="K55" i="1"/>
  <c r="L55" i="1"/>
  <c r="M55" i="1"/>
  <c r="N55" i="1"/>
  <c r="C56" i="1"/>
  <c r="D56" i="1"/>
  <c r="E56" i="1"/>
  <c r="F56" i="1"/>
  <c r="G56" i="1"/>
  <c r="H56" i="1"/>
  <c r="I56" i="1"/>
  <c r="J56" i="1"/>
  <c r="K56" i="1"/>
  <c r="L56" i="1"/>
  <c r="M56" i="1"/>
  <c r="N56" i="1"/>
  <c r="D49" i="1"/>
  <c r="E49" i="1"/>
  <c r="F49" i="1"/>
  <c r="G49" i="1"/>
  <c r="H49" i="1"/>
  <c r="I49" i="1"/>
  <c r="J49" i="1"/>
  <c r="K49" i="1"/>
  <c r="L49" i="1"/>
  <c r="M49" i="1"/>
  <c r="N49" i="1"/>
  <c r="C49" i="1"/>
  <c r="N56" i="2"/>
  <c r="D44" i="2"/>
  <c r="E44" i="2"/>
  <c r="F44" i="2"/>
  <c r="G44" i="2"/>
  <c r="H44" i="2"/>
  <c r="I44" i="2"/>
  <c r="J44" i="2"/>
  <c r="K44" i="2"/>
  <c r="L44" i="2"/>
  <c r="M44" i="2"/>
  <c r="N44" i="2"/>
  <c r="D43" i="2"/>
  <c r="E43" i="2"/>
  <c r="F43" i="2"/>
  <c r="G43" i="2"/>
  <c r="H43" i="2"/>
  <c r="I43" i="2"/>
  <c r="J43" i="2"/>
  <c r="K43" i="2"/>
  <c r="L43" i="2"/>
  <c r="M43" i="2"/>
  <c r="N43" i="2"/>
  <c r="D42" i="2"/>
  <c r="E42" i="2"/>
  <c r="F42" i="2"/>
  <c r="G42" i="2"/>
  <c r="H42" i="2"/>
  <c r="I42" i="2"/>
  <c r="J42" i="2"/>
  <c r="K42" i="2"/>
  <c r="L42" i="2"/>
  <c r="M42" i="2"/>
  <c r="N42" i="2"/>
  <c r="D41" i="2"/>
  <c r="E41" i="2"/>
  <c r="F41" i="2"/>
  <c r="G41" i="2"/>
  <c r="H41" i="2"/>
  <c r="I41" i="2"/>
  <c r="J41" i="2"/>
  <c r="K41" i="2"/>
  <c r="L41" i="2"/>
  <c r="M41" i="2"/>
  <c r="N41" i="2"/>
  <c r="D40" i="2"/>
  <c r="E40" i="2"/>
  <c r="F40" i="2"/>
  <c r="G40" i="2"/>
  <c r="H40" i="2"/>
  <c r="I40" i="2"/>
  <c r="J40" i="2"/>
  <c r="K40" i="2"/>
  <c r="L40" i="2"/>
  <c r="M40" i="2"/>
  <c r="N40" i="2"/>
  <c r="D39" i="2"/>
  <c r="E39" i="2"/>
  <c r="F39" i="2"/>
  <c r="G39" i="2"/>
  <c r="H39" i="2"/>
  <c r="I39" i="2"/>
  <c r="J39" i="2"/>
  <c r="K39" i="2"/>
  <c r="L39" i="2"/>
  <c r="M39" i="2"/>
  <c r="N39" i="2"/>
  <c r="D38" i="2"/>
  <c r="E38" i="2"/>
  <c r="F38" i="2"/>
  <c r="G38" i="2"/>
  <c r="H38" i="2"/>
  <c r="I38" i="2"/>
  <c r="J38" i="2"/>
  <c r="K38" i="2"/>
  <c r="L38" i="2"/>
  <c r="M38" i="2"/>
  <c r="N38" i="2"/>
  <c r="C44" i="2"/>
  <c r="C43" i="2"/>
  <c r="C42" i="2"/>
  <c r="C41" i="2"/>
  <c r="C40" i="2"/>
  <c r="C39" i="2"/>
  <c r="C38" i="2"/>
  <c r="D37" i="2"/>
  <c r="E37" i="2"/>
  <c r="F37" i="2"/>
  <c r="G37" i="2"/>
  <c r="H37" i="2"/>
  <c r="I37" i="2"/>
  <c r="J37" i="2"/>
  <c r="K37" i="2"/>
  <c r="L37" i="2"/>
  <c r="M37" i="2"/>
  <c r="N37" i="2"/>
  <c r="C37" i="2"/>
  <c r="D33" i="2"/>
  <c r="E33" i="2"/>
  <c r="F33" i="2"/>
  <c r="G33" i="2"/>
  <c r="H33" i="2"/>
  <c r="I33" i="2"/>
  <c r="J33" i="2"/>
  <c r="K33" i="2"/>
  <c r="L33" i="2"/>
  <c r="M33" i="2"/>
  <c r="N33" i="2"/>
  <c r="D32" i="2"/>
  <c r="E32" i="2"/>
  <c r="F32" i="2"/>
  <c r="G32" i="2"/>
  <c r="G57" i="2" s="1"/>
  <c r="H32" i="2"/>
  <c r="I32" i="2"/>
  <c r="J32" i="2"/>
  <c r="K32" i="2"/>
  <c r="L32" i="2"/>
  <c r="M32" i="2"/>
  <c r="N32" i="2"/>
  <c r="D31" i="2"/>
  <c r="E31" i="2"/>
  <c r="F31" i="2"/>
  <c r="G31" i="2"/>
  <c r="H31" i="2"/>
  <c r="I31" i="2"/>
  <c r="J31" i="2"/>
  <c r="K31" i="2"/>
  <c r="L31" i="2"/>
  <c r="M31" i="2"/>
  <c r="N31" i="2"/>
  <c r="D30" i="2"/>
  <c r="E30" i="2"/>
  <c r="F30" i="2"/>
  <c r="G30" i="2"/>
  <c r="H30" i="2"/>
  <c r="I30" i="2"/>
  <c r="J30" i="2"/>
  <c r="K30" i="2"/>
  <c r="L30" i="2"/>
  <c r="M30" i="2"/>
  <c r="N30" i="2"/>
  <c r="D29" i="2"/>
  <c r="E29" i="2"/>
  <c r="F29" i="2"/>
  <c r="G29" i="2"/>
  <c r="H29" i="2"/>
  <c r="I29" i="2"/>
  <c r="J29" i="2"/>
  <c r="K29" i="2"/>
  <c r="L29" i="2"/>
  <c r="M29" i="2"/>
  <c r="N29" i="2"/>
  <c r="D28" i="2"/>
  <c r="E28" i="2"/>
  <c r="F28" i="2"/>
  <c r="G28" i="2"/>
  <c r="H28" i="2"/>
  <c r="I28" i="2"/>
  <c r="J28" i="2"/>
  <c r="K28" i="2"/>
  <c r="L28" i="2"/>
  <c r="M28" i="2"/>
  <c r="N28" i="2"/>
  <c r="D27" i="2"/>
  <c r="E27" i="2"/>
  <c r="F27" i="2"/>
  <c r="G27" i="2"/>
  <c r="H27" i="2"/>
  <c r="I27" i="2"/>
  <c r="J27" i="2"/>
  <c r="K27" i="2"/>
  <c r="L27" i="2"/>
  <c r="M27" i="2"/>
  <c r="N27" i="2"/>
  <c r="C33" i="2"/>
  <c r="C32" i="2"/>
  <c r="C31" i="2"/>
  <c r="C30" i="2"/>
  <c r="C29" i="2"/>
  <c r="C28" i="2"/>
  <c r="C27" i="2"/>
  <c r="D26" i="2"/>
  <c r="E26" i="2"/>
  <c r="F26" i="2"/>
  <c r="G26" i="2"/>
  <c r="H26" i="2"/>
  <c r="I26" i="2"/>
  <c r="J26" i="2"/>
  <c r="K26" i="2"/>
  <c r="L26" i="2"/>
  <c r="M26" i="2"/>
  <c r="N26" i="2"/>
  <c r="C26" i="2"/>
  <c r="D11" i="2"/>
  <c r="E11" i="2"/>
  <c r="F11" i="2"/>
  <c r="G11" i="2"/>
  <c r="H11" i="2"/>
  <c r="I11" i="2"/>
  <c r="J11" i="2"/>
  <c r="K11" i="2"/>
  <c r="L11" i="2"/>
  <c r="M11" i="2"/>
  <c r="N11" i="2"/>
  <c r="D10" i="2"/>
  <c r="E10" i="2"/>
  <c r="F10" i="2"/>
  <c r="G10" i="2"/>
  <c r="H10" i="2"/>
  <c r="I10" i="2"/>
  <c r="J10" i="2"/>
  <c r="K10" i="2"/>
  <c r="L10" i="2"/>
  <c r="M10" i="2"/>
  <c r="N10" i="2"/>
  <c r="D9" i="2"/>
  <c r="E9" i="2"/>
  <c r="F9" i="2"/>
  <c r="G9" i="2"/>
  <c r="H9" i="2"/>
  <c r="I9" i="2"/>
  <c r="J9" i="2"/>
  <c r="K9" i="2"/>
  <c r="L9" i="2"/>
  <c r="M9" i="2"/>
  <c r="N9" i="2"/>
  <c r="D8" i="2"/>
  <c r="E8" i="2"/>
  <c r="F8" i="2"/>
  <c r="G8" i="2"/>
  <c r="H8" i="2"/>
  <c r="I8" i="2"/>
  <c r="J8" i="2"/>
  <c r="K8" i="2"/>
  <c r="L8" i="2"/>
  <c r="M8" i="2"/>
  <c r="N8" i="2"/>
  <c r="D7" i="2"/>
  <c r="E7" i="2"/>
  <c r="F7" i="2"/>
  <c r="G7" i="2"/>
  <c r="H7" i="2"/>
  <c r="I7" i="2"/>
  <c r="J7" i="2"/>
  <c r="K7" i="2"/>
  <c r="L7" i="2"/>
  <c r="M7" i="2"/>
  <c r="N7" i="2"/>
  <c r="D6" i="2"/>
  <c r="E6" i="2"/>
  <c r="F6" i="2"/>
  <c r="G6" i="2"/>
  <c r="H6" i="2"/>
  <c r="I6" i="2"/>
  <c r="J6" i="2"/>
  <c r="K6" i="2"/>
  <c r="L6" i="2"/>
  <c r="M6" i="2"/>
  <c r="N6" i="2"/>
  <c r="D5" i="2"/>
  <c r="E5" i="2"/>
  <c r="F5" i="2"/>
  <c r="G5" i="2"/>
  <c r="H5" i="2"/>
  <c r="I5" i="2"/>
  <c r="J5" i="2"/>
  <c r="K5" i="2"/>
  <c r="L5" i="2"/>
  <c r="M5" i="2"/>
  <c r="N5" i="2"/>
  <c r="C11" i="2"/>
  <c r="C10" i="2"/>
  <c r="C9" i="2"/>
  <c r="C8" i="2"/>
  <c r="C7" i="2"/>
  <c r="C6" i="2"/>
  <c r="C5" i="2"/>
  <c r="D4" i="2"/>
  <c r="E4" i="2"/>
  <c r="F4" i="2"/>
  <c r="G4" i="2"/>
  <c r="H4" i="2"/>
  <c r="I4" i="2"/>
  <c r="J4" i="2"/>
  <c r="K4" i="2"/>
  <c r="L4" i="2"/>
  <c r="M4" i="2"/>
  <c r="N4" i="2"/>
  <c r="C4" i="2"/>
  <c r="D22" i="2"/>
  <c r="E22" i="2"/>
  <c r="F22" i="2"/>
  <c r="G22" i="2"/>
  <c r="H22" i="2"/>
  <c r="I22" i="2"/>
  <c r="J22" i="2"/>
  <c r="K22" i="2"/>
  <c r="L22" i="2"/>
  <c r="M22" i="2"/>
  <c r="N22" i="2"/>
  <c r="D21" i="2"/>
  <c r="E21" i="2"/>
  <c r="F21" i="2"/>
  <c r="G21" i="2"/>
  <c r="H21" i="2"/>
  <c r="I21" i="2"/>
  <c r="J21" i="2"/>
  <c r="K21" i="2"/>
  <c r="L21" i="2"/>
  <c r="M21" i="2"/>
  <c r="N21" i="2"/>
  <c r="D20" i="2"/>
  <c r="E20" i="2"/>
  <c r="F20" i="2"/>
  <c r="G20" i="2"/>
  <c r="H20" i="2"/>
  <c r="I20" i="2"/>
  <c r="J20" i="2"/>
  <c r="K20" i="2"/>
  <c r="L20" i="2"/>
  <c r="M20" i="2"/>
  <c r="N20" i="2"/>
  <c r="D19" i="2"/>
  <c r="E19" i="2"/>
  <c r="F19" i="2"/>
  <c r="G19" i="2"/>
  <c r="H19" i="2"/>
  <c r="I19" i="2"/>
  <c r="J19" i="2"/>
  <c r="K19" i="2"/>
  <c r="L19" i="2"/>
  <c r="M19" i="2"/>
  <c r="N19" i="2"/>
  <c r="D18" i="2"/>
  <c r="E18" i="2"/>
  <c r="F18" i="2"/>
  <c r="G18" i="2"/>
  <c r="H18" i="2"/>
  <c r="I18" i="2"/>
  <c r="J18" i="2"/>
  <c r="K18" i="2"/>
  <c r="L18" i="2"/>
  <c r="M18" i="2"/>
  <c r="N18" i="2"/>
  <c r="C22" i="2"/>
  <c r="C21" i="2"/>
  <c r="C20" i="2"/>
  <c r="C19" i="2"/>
  <c r="C18" i="2"/>
  <c r="D17" i="2"/>
  <c r="E17" i="2"/>
  <c r="F17" i="2"/>
  <c r="G17" i="2"/>
  <c r="H17" i="2"/>
  <c r="I17" i="2"/>
  <c r="J17" i="2"/>
  <c r="K17" i="2"/>
  <c r="L17" i="2"/>
  <c r="M17" i="2"/>
  <c r="N17" i="2"/>
  <c r="C17" i="2"/>
  <c r="D16" i="2"/>
  <c r="E16" i="2"/>
  <c r="F16" i="2"/>
  <c r="G16" i="2"/>
  <c r="H16" i="2"/>
  <c r="I16" i="2"/>
  <c r="J16" i="2"/>
  <c r="K16" i="2"/>
  <c r="K52" i="2" s="1"/>
  <c r="L16" i="2"/>
  <c r="M16" i="2"/>
  <c r="N16" i="2"/>
  <c r="C16" i="2"/>
  <c r="D15" i="2"/>
  <c r="E15" i="2"/>
  <c r="F15" i="2"/>
  <c r="G15" i="2"/>
  <c r="H15" i="2"/>
  <c r="I15" i="2"/>
  <c r="J15" i="2"/>
  <c r="K15" i="2"/>
  <c r="L15" i="2"/>
  <c r="M15" i="2"/>
  <c r="N15" i="2"/>
  <c r="C15" i="2"/>
  <c r="N54" i="2" l="1"/>
  <c r="I58" i="2"/>
  <c r="H52" i="2"/>
  <c r="K54" i="2"/>
  <c r="H55" i="2"/>
  <c r="I56" i="2"/>
  <c r="C54" i="2"/>
  <c r="I54" i="2"/>
  <c r="J57" i="2"/>
  <c r="K56" i="2"/>
  <c r="M53" i="2"/>
  <c r="F56" i="2"/>
  <c r="F54" i="2"/>
  <c r="G52" i="2"/>
  <c r="N57" i="2"/>
  <c r="F52" i="2"/>
  <c r="G55" i="2"/>
  <c r="H58" i="2"/>
  <c r="J51" i="2"/>
  <c r="C53" i="2"/>
  <c r="L52" i="2"/>
  <c r="D52" i="2"/>
  <c r="G53" i="2"/>
  <c r="J54" i="2"/>
  <c r="M55" i="2"/>
  <c r="E55" i="2"/>
  <c r="H56" i="2"/>
  <c r="K57" i="2"/>
  <c r="N58" i="2"/>
  <c r="F58" i="2"/>
  <c r="E54" i="2"/>
  <c r="L51" i="2"/>
  <c r="D51" i="2"/>
  <c r="L54" i="2"/>
  <c r="J56" i="2"/>
  <c r="I51" i="2"/>
  <c r="N53" i="2"/>
  <c r="F53" i="2"/>
  <c r="L55" i="2"/>
  <c r="D55" i="2"/>
  <c r="G56" i="2"/>
  <c r="M58" i="2"/>
  <c r="E58" i="2"/>
  <c r="M51" i="2"/>
  <c r="F57" i="2"/>
  <c r="N52" i="2"/>
  <c r="D54" i="2"/>
  <c r="E57" i="2"/>
  <c r="H51" i="2"/>
  <c r="C55" i="2"/>
  <c r="J52" i="2"/>
  <c r="E53" i="2"/>
  <c r="H54" i="2"/>
  <c r="K55" i="2"/>
  <c r="I57" i="2"/>
  <c r="L58" i="2"/>
  <c r="D58" i="2"/>
  <c r="J53" i="2"/>
  <c r="C58" i="2"/>
  <c r="G51" i="2"/>
  <c r="I52" i="2"/>
  <c r="D53" i="2"/>
  <c r="J55" i="2"/>
  <c r="E56" i="2"/>
  <c r="K58" i="2"/>
  <c r="E51" i="2"/>
  <c r="M54" i="2"/>
  <c r="C51" i="2"/>
  <c r="C56" i="2"/>
  <c r="L53" i="2"/>
  <c r="G54" i="2"/>
  <c r="M56" i="2"/>
  <c r="H57" i="2"/>
  <c r="N51" i="2"/>
  <c r="F51" i="2"/>
  <c r="C57" i="2"/>
  <c r="K53" i="2"/>
  <c r="I55" i="2"/>
  <c r="L56" i="2"/>
  <c r="D56" i="2"/>
  <c r="J58" i="2"/>
  <c r="I53" i="2"/>
  <c r="M57" i="2"/>
  <c r="K51" i="2"/>
  <c r="C52" i="2"/>
  <c r="M52" i="2"/>
  <c r="E52" i="2"/>
  <c r="H53" i="2"/>
  <c r="N55" i="2"/>
  <c r="F55" i="2"/>
  <c r="L57" i="2"/>
  <c r="D57" i="2"/>
  <c r="G58" i="2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<sst xmlns="http://schemas.openxmlformats.org/spreadsheetml/2006/main" count="423" uniqueCount="130">
  <si>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</si>
  <si>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</si>
  <si>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</si>
  <si>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</si>
  <si>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</si>
  <si>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</si>
  <si>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</si>
  <si>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</si>
  <si>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</si>
  <si>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</si>
  <si>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</si>
  <si>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</si>
  <si>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</si>
  <si>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</si>
  <si>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</si>
  <si>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</si>
  <si>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</si>
  <si>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</si>
  <si>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</si>
  <si>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</si>
  <si>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</si>
  <si>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P1</t>
  </si>
  <si>
    <t>m002 UTR, benchmark</t>
  </si>
  <si>
    <t>P2</t>
  </si>
  <si>
    <t>P3</t>
  </si>
  <si>
    <t>original data</t>
  </si>
  <si>
    <t>P4</t>
  </si>
  <si>
    <t>fold change to m002 benchmark</t>
  </si>
  <si>
    <t>average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</si>
  <si>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</si>
  <si>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</si>
  <si>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</si>
  <si>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</si>
  <si>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</si>
  <si>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</si>
  <si>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</si>
  <si>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</si>
  <si>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</si>
  <si>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</si>
  <si>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</si>
  <si>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</si>
  <si>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</si>
  <si>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</si>
  <si>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</si>
  <si>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</si>
  <si>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</si>
  <si>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</si>
  <si>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</si>
  <si>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</si>
  <si>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</si>
  <si>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</si>
  <si>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</si>
  <si>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</si>
  <si>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</si>
  <si>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</si>
  <si>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</si>
  <si>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</si>
  <si>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</si>
  <si>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</si>
  <si>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</si>
  <si>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</si>
  <si>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</si>
  <si>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</si>
  <si>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</si>
  <si>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</si>
  <si>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</si>
  <si>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</si>
  <si>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</si>
  <si>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</si>
  <si>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</si>
  <si>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</si>
  <si>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</si>
  <si>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</si>
  <si>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</si>
  <si>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</si>
  <si>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</si>
  <si>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</si>
  <si>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</si>
  <si>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</si>
  <si>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</si>
  <si>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</si>
  <si>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</si>
  <si>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</si>
  <si>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</si>
  <si>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</si>
  <si>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</si>
  <si>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</si>
  <si>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</si>
  <si>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</si>
  <si>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</si>
  <si>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</si>
  <si>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</si>
  <si>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</si>
  <si>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</si>
  <si>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</si>
  <si>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</si>
  <si>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</si>
  <si>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</si>
  <si>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</si>
  <si>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</si>
  <si>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</si>
  <si>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</si>
  <si>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</si>
  <si>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</si>
  <si>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</si>
  <si>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</si>
  <si>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</si>
  <si>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</si>
  <si>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</si>
  <si>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</si>
  <si>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</si>
  <si>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</si>
  <si>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</si>
  <si>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</si>
  <si>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</si>
  <si>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</si>
  <si>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</si>
  <si>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</si>
  <si>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</si>
  <si>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</si>
  <si>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</si>
  <si>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</si>
  <si>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</si>
  <si>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</si>
  <si>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</si>
  <si>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original signal</t>
  </si>
  <si>
    <t>m176 UTR</t>
  </si>
  <si>
    <t>m801</t>
  </si>
  <si>
    <t>m002 UTR</t>
  </si>
  <si>
    <t>m801 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</si>
</sst>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1" fillId="5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3" fillId="5" borderId="0" xfId="0" applyFont="1" applyFill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4" fillId="7" borderId="0" xfId="0" applyFont="1" applyFill="1"/>
    <xf numFmtId="2" fontId="4" fillId="6" borderId="0" xfId="0" applyNumberFormat="1" applyFont="1" applyFill="1"/>
    <xf numFmtId="0" fontId="0" fillId="3" borderId="0" xfId="0" applyFill="1"/>
    <xf numFmtId="0" fontId="0" fillId="7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8F79-B0B0-45BE-BFE0-0558AF046C50}">
  <dimension ref="A1:P56"/>
  <sheetViews>
    <sheetView topLeftCell="A43" workbookViewId="0">
      <selection activeCell="O50" sqref="O50"/>
    </sheetView>
  </sheetViews>
  <sheetFormatPr baseColWidth="10" defaultColWidth="8.83203125" defaultRowHeight="15" x14ac:dyDescent="0.2"/>
  <cols>
    <col min="1" max="1" width="11.1640625" customWidth="1"/>
  </cols>
  <sheetData>
    <row r="1" spans="1:16" x14ac:dyDescent="0.2">
      <c r="A1" t="s">
        <v>25</v>
      </c>
      <c r="O1" s="6"/>
      <c r="P1" t="s">
        <v>22</v>
      </c>
    </row>
    <row r="2" spans="1:16" x14ac:dyDescent="0.2">
      <c r="A2" t="s">
        <v>21</v>
      </c>
    </row>
    <row r="3" spans="1:16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spans="1:16" x14ac:dyDescent="0.2">
      <c r="B4" s="1" t="s">
        <v>13</v>
      </c>
      <c r="C4" s="2">
        <v>1.1351</v>
      </c>
      <c r="D4" s="3">
        <v>0.72350000000000003</v>
      </c>
      <c r="E4" s="3">
        <v>0.69430000000000003</v>
      </c>
      <c r="F4" s="3">
        <v>0.63049999999999995</v>
      </c>
      <c r="G4" s="3">
        <v>0.54010000000000002</v>
      </c>
      <c r="H4" s="3">
        <v>0.50680000000000003</v>
      </c>
      <c r="I4" s="3">
        <v>0.57079999999999997</v>
      </c>
      <c r="J4" s="3">
        <v>0.5292</v>
      </c>
      <c r="K4" s="3">
        <v>0.5877</v>
      </c>
      <c r="L4" s="3">
        <v>0.55020000000000002</v>
      </c>
      <c r="M4" s="3">
        <v>0.59870000000000001</v>
      </c>
      <c r="N4" s="3">
        <v>0.65900000000000003</v>
      </c>
    </row>
    <row r="5" spans="1:16" x14ac:dyDescent="0.2">
      <c r="B5" s="1" t="s">
        <v>14</v>
      </c>
      <c r="C5" s="3">
        <v>0.53339999999999999</v>
      </c>
      <c r="D5" s="3">
        <v>0.52159999999999995</v>
      </c>
      <c r="E5" s="3">
        <v>0.53559999999999997</v>
      </c>
      <c r="F5" s="3">
        <v>0.45190000000000002</v>
      </c>
      <c r="G5" s="3">
        <v>0.42620000000000002</v>
      </c>
      <c r="H5" s="3">
        <v>0.42309999999999998</v>
      </c>
      <c r="I5" s="3">
        <v>0.4279</v>
      </c>
      <c r="J5" s="3">
        <v>0.4199</v>
      </c>
      <c r="K5" s="3">
        <v>0.50619999999999998</v>
      </c>
      <c r="L5" s="3">
        <v>0.48680000000000001</v>
      </c>
      <c r="M5" s="3">
        <v>0.4753</v>
      </c>
      <c r="N5" s="3">
        <v>0.50919999999999999</v>
      </c>
    </row>
    <row r="6" spans="1:16" x14ac:dyDescent="0.2">
      <c r="B6" s="1" t="s">
        <v>15</v>
      </c>
      <c r="C6" s="3">
        <v>0.54900000000000004</v>
      </c>
      <c r="D6" s="3">
        <v>0.4355</v>
      </c>
      <c r="E6" s="3">
        <v>0.46879999999999999</v>
      </c>
      <c r="F6" s="3">
        <v>0.41599999999999998</v>
      </c>
      <c r="G6" s="3">
        <v>0.4592</v>
      </c>
      <c r="H6" s="3">
        <v>0.4294</v>
      </c>
      <c r="I6" s="3">
        <v>0.44019999999999998</v>
      </c>
      <c r="J6" s="3">
        <v>0.42770000000000002</v>
      </c>
      <c r="K6" s="3">
        <v>0.55569999999999997</v>
      </c>
      <c r="L6" s="3">
        <v>0.48749999999999999</v>
      </c>
      <c r="M6" s="3">
        <v>0.47070000000000001</v>
      </c>
      <c r="N6" s="3">
        <v>0.54759999999999998</v>
      </c>
    </row>
    <row r="7" spans="1:16" x14ac:dyDescent="0.2">
      <c r="B7" s="1" t="s">
        <v>16</v>
      </c>
      <c r="C7" s="3">
        <v>0.52100000000000002</v>
      </c>
      <c r="D7" s="3">
        <v>0.47049999999999997</v>
      </c>
      <c r="E7" s="3">
        <v>0.43390000000000001</v>
      </c>
      <c r="F7" s="3">
        <v>0.44679999999999997</v>
      </c>
      <c r="G7" s="3">
        <v>0.4733</v>
      </c>
      <c r="H7" s="3">
        <v>0.4002</v>
      </c>
      <c r="I7" s="3">
        <v>0.41689999999999999</v>
      </c>
      <c r="J7" s="3">
        <v>0.50470000000000004</v>
      </c>
      <c r="K7" s="3">
        <v>0.43809999999999999</v>
      </c>
      <c r="L7" s="3">
        <v>0.49469999999999997</v>
      </c>
      <c r="M7" s="3">
        <v>0.58089999999999997</v>
      </c>
      <c r="N7" s="4">
        <v>0.54610000000000003</v>
      </c>
    </row>
    <row r="8" spans="1:16" x14ac:dyDescent="0.2">
      <c r="B8" s="1" t="s">
        <v>17</v>
      </c>
      <c r="C8" s="3">
        <v>0.50439999999999996</v>
      </c>
      <c r="D8" s="3">
        <v>0.58069999999999999</v>
      </c>
      <c r="E8" s="3">
        <v>0.46629999999999999</v>
      </c>
      <c r="F8" s="3">
        <v>0.4299</v>
      </c>
      <c r="G8" s="3">
        <v>0.4536</v>
      </c>
      <c r="H8" s="3">
        <v>0.44290000000000002</v>
      </c>
      <c r="I8" s="3">
        <v>0.51929999999999998</v>
      </c>
      <c r="J8" s="3">
        <v>0.56379999999999997</v>
      </c>
      <c r="K8" s="3">
        <v>0.46189999999999998</v>
      </c>
      <c r="L8" s="3">
        <v>0.51070000000000004</v>
      </c>
      <c r="M8" s="3">
        <v>0.52149999999999996</v>
      </c>
      <c r="N8" s="3">
        <v>1.2170000000000001</v>
      </c>
    </row>
    <row r="9" spans="1:16" x14ac:dyDescent="0.2">
      <c r="B9" s="1" t="s">
        <v>18</v>
      </c>
      <c r="C9" s="3">
        <v>0.51039999999999996</v>
      </c>
      <c r="D9" s="3">
        <v>0.55959999999999999</v>
      </c>
      <c r="E9" s="3">
        <v>0.48220000000000002</v>
      </c>
      <c r="F9" s="3">
        <v>0.44450000000000001</v>
      </c>
      <c r="G9" s="3">
        <v>0.53039999999999998</v>
      </c>
      <c r="H9" s="3">
        <v>0.43330000000000002</v>
      </c>
      <c r="I9" s="3">
        <v>0.53029999999999999</v>
      </c>
      <c r="J9" s="3">
        <v>0.57589999999999997</v>
      </c>
      <c r="K9" s="3">
        <v>0.5474</v>
      </c>
      <c r="L9" s="3">
        <v>0.49440000000000001</v>
      </c>
      <c r="M9" s="3">
        <v>0.64090000000000003</v>
      </c>
      <c r="N9" s="3">
        <v>1.0162</v>
      </c>
    </row>
    <row r="10" spans="1:16" x14ac:dyDescent="0.2">
      <c r="B10" s="1" t="s">
        <v>19</v>
      </c>
      <c r="C10" s="3">
        <v>0.48670000000000002</v>
      </c>
      <c r="D10" s="3">
        <v>0.52439999999999998</v>
      </c>
      <c r="E10" s="3">
        <v>0.54369999999999996</v>
      </c>
      <c r="F10" s="3">
        <v>0.57299999999999995</v>
      </c>
      <c r="G10" s="3">
        <v>0.45079999999999998</v>
      </c>
      <c r="H10" s="3">
        <v>0.55000000000000004</v>
      </c>
      <c r="I10" s="3">
        <v>0.66820000000000002</v>
      </c>
      <c r="J10" s="3">
        <v>0.59430000000000005</v>
      </c>
      <c r="K10" s="3">
        <v>0.63039999999999996</v>
      </c>
      <c r="L10" s="3">
        <v>0.5675</v>
      </c>
      <c r="M10" s="3">
        <v>0.63149999999999995</v>
      </c>
      <c r="N10" s="3">
        <v>1.2858000000000001</v>
      </c>
    </row>
    <row r="11" spans="1:16" x14ac:dyDescent="0.2">
      <c r="B11" s="1" t="s">
        <v>20</v>
      </c>
      <c r="C11" s="3">
        <v>0.58109999999999995</v>
      </c>
      <c r="D11" s="3">
        <v>0.61460000000000004</v>
      </c>
      <c r="E11" s="3">
        <v>0.58389999999999997</v>
      </c>
      <c r="F11" s="3">
        <v>0.63849999999999996</v>
      </c>
      <c r="G11" s="3">
        <v>0.62239999999999995</v>
      </c>
      <c r="H11" s="3">
        <v>0.57579999999999998</v>
      </c>
      <c r="I11" s="3">
        <v>0.59519999999999995</v>
      </c>
      <c r="J11" s="5">
        <v>4.0999999999999996</v>
      </c>
      <c r="K11" s="3">
        <v>0.5403</v>
      </c>
      <c r="L11" s="3">
        <v>0.60089999999999999</v>
      </c>
      <c r="M11" s="3">
        <v>0.60109999999999997</v>
      </c>
      <c r="N11" s="3">
        <v>1.1860999999999999</v>
      </c>
    </row>
    <row r="13" spans="1:16" x14ac:dyDescent="0.2">
      <c r="A13" t="s">
        <v>23</v>
      </c>
    </row>
    <row r="14" spans="1:16" x14ac:dyDescent="0.2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</row>
    <row r="15" spans="1:16" x14ac:dyDescent="0.2">
      <c r="B15" s="1" t="s">
        <v>13</v>
      </c>
      <c r="C15" s="2">
        <v>1.0109999999999999</v>
      </c>
      <c r="D15" s="3">
        <v>0.60640000000000005</v>
      </c>
      <c r="E15" s="3">
        <v>0.55089999999999995</v>
      </c>
      <c r="F15" s="3">
        <v>0.58109999999999995</v>
      </c>
      <c r="G15" s="3">
        <v>0.46250000000000002</v>
      </c>
      <c r="H15" s="3">
        <v>0.44009999999999999</v>
      </c>
      <c r="I15" s="3">
        <v>0.47199999999999998</v>
      </c>
      <c r="J15" s="3">
        <v>0.4995</v>
      </c>
      <c r="K15" s="3">
        <v>0.51429999999999998</v>
      </c>
      <c r="L15" s="3">
        <v>0.46939999999999998</v>
      </c>
      <c r="M15" s="3">
        <v>0.48509999999999998</v>
      </c>
      <c r="N15" s="3">
        <v>0.5454</v>
      </c>
    </row>
    <row r="16" spans="1:16" x14ac:dyDescent="0.2">
      <c r="B16" s="1" t="s">
        <v>14</v>
      </c>
      <c r="C16" s="3">
        <v>0.46550000000000002</v>
      </c>
      <c r="D16" s="3">
        <v>0.3921</v>
      </c>
      <c r="E16" s="3">
        <v>0.3831</v>
      </c>
      <c r="F16" s="3">
        <v>0.36170000000000002</v>
      </c>
      <c r="G16" s="3">
        <v>0.30940000000000001</v>
      </c>
      <c r="H16" s="3">
        <v>0.34610000000000002</v>
      </c>
      <c r="I16" s="3">
        <v>0.25969999999999999</v>
      </c>
      <c r="J16" s="3">
        <v>0.30919999999999997</v>
      </c>
      <c r="K16" s="3">
        <v>0.31430000000000002</v>
      </c>
      <c r="L16" s="3">
        <v>0.35289999999999999</v>
      </c>
      <c r="M16" s="13">
        <v>0.90039999999999998</v>
      </c>
      <c r="N16" s="3">
        <v>0.4219</v>
      </c>
    </row>
    <row r="17" spans="1:14" x14ac:dyDescent="0.2">
      <c r="B17" s="1" t="s">
        <v>15</v>
      </c>
      <c r="C17" s="3">
        <v>0.51270000000000004</v>
      </c>
      <c r="D17" s="3">
        <v>0.4012</v>
      </c>
      <c r="E17" s="3">
        <v>0.31459999999999999</v>
      </c>
      <c r="F17" s="3">
        <v>0.31940000000000002</v>
      </c>
      <c r="G17" s="3">
        <v>0.34789999999999999</v>
      </c>
      <c r="H17" s="3">
        <v>0.28899999999999998</v>
      </c>
      <c r="I17" s="3">
        <v>0.27779999999999999</v>
      </c>
      <c r="J17" s="3">
        <v>0.30509999999999998</v>
      </c>
      <c r="K17" s="3">
        <v>0.37869999999999998</v>
      </c>
      <c r="L17" s="3">
        <v>0.30230000000000001</v>
      </c>
      <c r="M17" s="3">
        <v>0.32669999999999999</v>
      </c>
      <c r="N17" s="3">
        <v>0.47839999999999999</v>
      </c>
    </row>
    <row r="18" spans="1:14" x14ac:dyDescent="0.2">
      <c r="B18" s="1" t="s">
        <v>16</v>
      </c>
      <c r="C18" s="3">
        <v>0.3448</v>
      </c>
      <c r="D18" s="3">
        <v>0.34399999999999997</v>
      </c>
      <c r="E18" s="3">
        <v>0.30499999999999999</v>
      </c>
      <c r="F18" s="3">
        <v>0.3569</v>
      </c>
      <c r="G18" s="3">
        <v>0.26819999999999999</v>
      </c>
      <c r="H18" s="3">
        <v>0.26719999999999999</v>
      </c>
      <c r="I18" s="3">
        <v>0.33</v>
      </c>
      <c r="J18" s="3">
        <v>0.34960000000000002</v>
      </c>
      <c r="K18" s="3">
        <v>0.32200000000000001</v>
      </c>
      <c r="L18" s="3">
        <v>0.4335</v>
      </c>
      <c r="M18" s="3">
        <v>0.317</v>
      </c>
      <c r="N18" s="4">
        <v>0.40460000000000002</v>
      </c>
    </row>
    <row r="19" spans="1:14" x14ac:dyDescent="0.2">
      <c r="B19" s="1" t="s">
        <v>17</v>
      </c>
      <c r="C19" s="3">
        <v>0.46239999999999998</v>
      </c>
      <c r="D19" s="3">
        <v>0.36870000000000003</v>
      </c>
      <c r="E19" s="3">
        <v>0.3458</v>
      </c>
      <c r="F19" s="3">
        <v>0.31569999999999998</v>
      </c>
      <c r="G19" s="3">
        <v>0.3246</v>
      </c>
      <c r="H19" s="3">
        <v>0.29189999999999999</v>
      </c>
      <c r="I19" s="3">
        <v>0.33110000000000001</v>
      </c>
      <c r="J19" s="3">
        <v>0.4264</v>
      </c>
      <c r="K19" s="3">
        <v>0.36680000000000001</v>
      </c>
      <c r="L19" s="3">
        <v>0.3952</v>
      </c>
      <c r="M19" s="3">
        <v>0.31690000000000002</v>
      </c>
      <c r="N19" s="3">
        <v>1.2403</v>
      </c>
    </row>
    <row r="20" spans="1:14" x14ac:dyDescent="0.2">
      <c r="B20" s="1" t="s">
        <v>18</v>
      </c>
      <c r="C20" s="3">
        <v>0.46039999999999998</v>
      </c>
      <c r="D20" s="3">
        <v>0.37869999999999998</v>
      </c>
      <c r="E20" s="3">
        <v>0.34029999999999999</v>
      </c>
      <c r="F20" s="3">
        <v>0.33260000000000001</v>
      </c>
      <c r="G20" s="3">
        <v>0.31680000000000003</v>
      </c>
      <c r="H20" s="3">
        <v>0.28149999999999997</v>
      </c>
      <c r="I20" s="3">
        <v>0.36230000000000001</v>
      </c>
      <c r="J20" s="3">
        <v>0.39979999999999999</v>
      </c>
      <c r="K20" s="3">
        <v>0.38790000000000002</v>
      </c>
      <c r="L20" s="3">
        <v>0.42920000000000003</v>
      </c>
      <c r="M20" s="3">
        <v>0.43419999999999997</v>
      </c>
      <c r="N20" s="3">
        <v>1.0205</v>
      </c>
    </row>
    <row r="21" spans="1:14" x14ac:dyDescent="0.2">
      <c r="B21" s="1" t="s">
        <v>19</v>
      </c>
      <c r="C21" s="3">
        <v>0.39600000000000002</v>
      </c>
      <c r="D21" s="3">
        <v>0.36799999999999999</v>
      </c>
      <c r="E21" s="3">
        <v>0.39019999999999999</v>
      </c>
      <c r="F21" s="3">
        <v>0.44990000000000002</v>
      </c>
      <c r="G21" s="3">
        <v>0.41199999999999998</v>
      </c>
      <c r="H21" s="3">
        <v>0.42259999999999998</v>
      </c>
      <c r="I21" s="3">
        <v>0.39810000000000001</v>
      </c>
      <c r="J21" s="3">
        <v>0.41199999999999998</v>
      </c>
      <c r="K21" s="3">
        <v>0.44779999999999998</v>
      </c>
      <c r="L21" s="3">
        <v>0.50029999999999997</v>
      </c>
      <c r="M21" s="3">
        <v>0.41249999999999998</v>
      </c>
      <c r="N21" s="3">
        <v>0.81359999999999999</v>
      </c>
    </row>
    <row r="22" spans="1:14" x14ac:dyDescent="0.2">
      <c r="B22" s="1" t="s">
        <v>20</v>
      </c>
      <c r="C22" s="3">
        <v>0.51880000000000004</v>
      </c>
      <c r="D22" s="3">
        <v>0.44869999999999999</v>
      </c>
      <c r="E22" s="3">
        <v>0.44419999999999998</v>
      </c>
      <c r="F22" s="3">
        <v>0.45490000000000003</v>
      </c>
      <c r="G22" s="3">
        <v>0.40760000000000002</v>
      </c>
      <c r="H22" s="3">
        <v>0.49540000000000001</v>
      </c>
      <c r="I22" s="3">
        <v>0.42720000000000002</v>
      </c>
      <c r="J22" s="7">
        <v>4.0039999999999996</v>
      </c>
      <c r="K22" s="3">
        <v>0.46700000000000003</v>
      </c>
      <c r="L22" s="3">
        <v>0.40910000000000002</v>
      </c>
      <c r="M22" s="3">
        <v>0.54500000000000004</v>
      </c>
      <c r="N22" s="3">
        <v>0.79759999999999998</v>
      </c>
    </row>
    <row r="24" spans="1:14" x14ac:dyDescent="0.2">
      <c r="A24" t="s">
        <v>24</v>
      </c>
    </row>
    <row r="25" spans="1:14" x14ac:dyDescent="0.2">
      <c r="B25" s="8" t="s">
        <v>0</v>
      </c>
      <c r="C25" s="8" t="s">
        <v>1</v>
      </c>
      <c r="D25" s="8" t="s">
        <v>2</v>
      </c>
      <c r="E25" s="8" t="s">
        <v>3</v>
      </c>
      <c r="F25" s="8" t="s">
        <v>4</v>
      </c>
      <c r="G25" s="8" t="s">
        <v>5</v>
      </c>
      <c r="H25" s="8" t="s">
        <v>6</v>
      </c>
      <c r="I25" s="8" t="s">
        <v>7</v>
      </c>
      <c r="J25" s="8" t="s">
        <v>8</v>
      </c>
      <c r="K25" s="8" t="s">
        <v>9</v>
      </c>
      <c r="L25" s="8" t="s">
        <v>10</v>
      </c>
      <c r="M25" s="8" t="s">
        <v>11</v>
      </c>
      <c r="N25" s="8" t="s">
        <v>12</v>
      </c>
    </row>
    <row r="26" spans="1:14" x14ac:dyDescent="0.2">
      <c r="B26" s="8" t="s">
        <v>13</v>
      </c>
      <c r="C26" s="9">
        <v>1.2392000000000001</v>
      </c>
      <c r="D26" s="10">
        <v>0.9093</v>
      </c>
      <c r="E26" s="10">
        <v>0.70740000000000003</v>
      </c>
      <c r="F26" s="10">
        <v>0.71879999999999999</v>
      </c>
      <c r="G26" s="10">
        <v>0.54730000000000001</v>
      </c>
      <c r="H26" s="10">
        <v>0.58040000000000003</v>
      </c>
      <c r="I26" s="10">
        <v>0.50639999999999996</v>
      </c>
      <c r="J26" s="10">
        <v>0.46350000000000002</v>
      </c>
      <c r="K26" s="10">
        <v>0.4995</v>
      </c>
      <c r="L26" s="10">
        <v>0.4768</v>
      </c>
      <c r="M26" s="10">
        <v>0.41720000000000002</v>
      </c>
      <c r="N26" s="10">
        <v>0.52980000000000005</v>
      </c>
    </row>
    <row r="27" spans="1:14" x14ac:dyDescent="0.2">
      <c r="B27" s="8" t="s">
        <v>14</v>
      </c>
      <c r="C27" s="10">
        <v>0.5655</v>
      </c>
      <c r="D27" s="10">
        <v>0.58320000000000005</v>
      </c>
      <c r="E27" s="10">
        <v>0.52200000000000002</v>
      </c>
      <c r="F27" s="10">
        <v>0.51390000000000002</v>
      </c>
      <c r="G27" s="10">
        <v>0.4551</v>
      </c>
      <c r="H27" s="10">
        <v>0.37880000000000003</v>
      </c>
      <c r="I27" s="10">
        <v>0.32790000000000002</v>
      </c>
      <c r="J27" s="10">
        <v>0.31440000000000001</v>
      </c>
      <c r="K27" s="10">
        <v>0.38750000000000001</v>
      </c>
      <c r="L27" s="10">
        <v>0.3639</v>
      </c>
      <c r="M27" s="10">
        <v>0.3649</v>
      </c>
      <c r="N27" s="10">
        <v>0.46910000000000002</v>
      </c>
    </row>
    <row r="28" spans="1:14" x14ac:dyDescent="0.2">
      <c r="B28" s="8" t="s">
        <v>15</v>
      </c>
      <c r="C28" s="10">
        <v>0.46839999999999998</v>
      </c>
      <c r="D28" s="10">
        <v>0.45889999999999997</v>
      </c>
      <c r="E28" s="10">
        <v>0.4582</v>
      </c>
      <c r="F28" s="10">
        <v>0.3901</v>
      </c>
      <c r="G28" s="10">
        <v>0.32940000000000003</v>
      </c>
      <c r="H28" s="10">
        <v>0.31040000000000001</v>
      </c>
      <c r="I28" s="10">
        <v>0.3165</v>
      </c>
      <c r="J28" s="10">
        <v>0.33040000000000003</v>
      </c>
      <c r="K28" s="10">
        <v>0.39019999999999999</v>
      </c>
      <c r="L28" s="10">
        <v>0.42270000000000002</v>
      </c>
      <c r="M28" s="10">
        <v>0.33169999999999999</v>
      </c>
      <c r="N28" s="10">
        <v>0.49859999999999999</v>
      </c>
    </row>
    <row r="29" spans="1:14" x14ac:dyDescent="0.2">
      <c r="B29" s="8" t="s">
        <v>16</v>
      </c>
      <c r="C29" s="10">
        <v>0.51170000000000004</v>
      </c>
      <c r="D29" s="10">
        <v>0.51180000000000003</v>
      </c>
      <c r="E29" s="10">
        <v>0.4824</v>
      </c>
      <c r="F29" s="10">
        <v>0.42149999999999999</v>
      </c>
      <c r="G29" s="10">
        <v>0.39219999999999999</v>
      </c>
      <c r="H29" s="10">
        <v>0.39489999999999997</v>
      </c>
      <c r="I29" s="10">
        <v>0.33729999999999999</v>
      </c>
      <c r="J29" s="10">
        <v>0.3735</v>
      </c>
      <c r="K29" s="10">
        <v>0.38679999999999998</v>
      </c>
      <c r="L29" s="10">
        <v>0.4027</v>
      </c>
      <c r="M29" s="10">
        <v>0.3654</v>
      </c>
      <c r="N29" s="11">
        <v>0.5232</v>
      </c>
    </row>
    <row r="30" spans="1:14" x14ac:dyDescent="0.2">
      <c r="B30" s="8" t="s">
        <v>17</v>
      </c>
      <c r="C30" s="10">
        <v>0.53810000000000002</v>
      </c>
      <c r="D30" s="10">
        <v>0.47570000000000001</v>
      </c>
      <c r="E30" s="10">
        <v>0.47449999999999998</v>
      </c>
      <c r="F30" s="10">
        <v>0.33119999999999999</v>
      </c>
      <c r="G30" s="10">
        <v>0.34960000000000002</v>
      </c>
      <c r="H30" s="10">
        <v>0.45300000000000001</v>
      </c>
      <c r="I30" s="10">
        <v>0.33850000000000002</v>
      </c>
      <c r="J30" s="10">
        <v>0.42120000000000002</v>
      </c>
      <c r="K30" s="10">
        <v>0.39090000000000003</v>
      </c>
      <c r="L30" s="10">
        <v>0.39650000000000002</v>
      </c>
      <c r="M30" s="10">
        <v>0.41589999999999999</v>
      </c>
      <c r="N30" s="10">
        <v>1.0922000000000001</v>
      </c>
    </row>
    <row r="31" spans="1:14" x14ac:dyDescent="0.2">
      <c r="B31" s="8" t="s">
        <v>18</v>
      </c>
      <c r="C31" s="10">
        <v>0.62649999999999995</v>
      </c>
      <c r="D31" s="10">
        <v>0.51700000000000002</v>
      </c>
      <c r="E31" s="10">
        <v>0.54800000000000004</v>
      </c>
      <c r="F31" s="10">
        <v>0.39319999999999999</v>
      </c>
      <c r="G31" s="10">
        <v>0.35659999999999997</v>
      </c>
      <c r="H31" s="10">
        <v>0.41349999999999998</v>
      </c>
      <c r="I31" s="10">
        <v>0.41560000000000002</v>
      </c>
      <c r="J31" s="10">
        <v>0.50319999999999998</v>
      </c>
      <c r="K31" s="10">
        <v>0.35320000000000001</v>
      </c>
      <c r="L31" s="10">
        <v>0.38579999999999998</v>
      </c>
      <c r="M31" s="10">
        <v>0.48920000000000002</v>
      </c>
      <c r="N31" s="10">
        <v>1.5358000000000001</v>
      </c>
    </row>
    <row r="32" spans="1:14" x14ac:dyDescent="0.2">
      <c r="B32" s="8" t="s">
        <v>19</v>
      </c>
      <c r="C32" s="10">
        <v>0.624</v>
      </c>
      <c r="D32" s="10">
        <v>0.46310000000000001</v>
      </c>
      <c r="E32" s="10">
        <v>0.499</v>
      </c>
      <c r="F32" s="10">
        <v>0.42859999999999998</v>
      </c>
      <c r="G32" s="10">
        <v>0.44800000000000001</v>
      </c>
      <c r="H32" s="10">
        <v>0.43030000000000002</v>
      </c>
      <c r="I32" s="10">
        <v>0.40429999999999999</v>
      </c>
      <c r="J32" s="10">
        <v>0.36320000000000002</v>
      </c>
      <c r="K32" s="10">
        <v>0.38990000000000002</v>
      </c>
      <c r="L32" s="10">
        <v>0.35709999999999997</v>
      </c>
      <c r="M32" s="10">
        <v>0.4829</v>
      </c>
      <c r="N32" s="10">
        <v>1.1191</v>
      </c>
    </row>
    <row r="33" spans="1:14" x14ac:dyDescent="0.2">
      <c r="B33" s="8" t="s">
        <v>20</v>
      </c>
      <c r="C33" s="10">
        <v>0.5252</v>
      </c>
      <c r="D33" s="10">
        <v>0.54269999999999996</v>
      </c>
      <c r="E33" s="10">
        <v>0.59199999999999997</v>
      </c>
      <c r="F33" s="10">
        <v>0.49430000000000002</v>
      </c>
      <c r="G33" s="10">
        <v>0.46539999999999998</v>
      </c>
      <c r="H33" s="10">
        <v>0.45150000000000001</v>
      </c>
      <c r="I33" s="10">
        <v>0.41739999999999999</v>
      </c>
      <c r="J33" s="12">
        <v>4.1589999999999998</v>
      </c>
      <c r="K33" s="10">
        <v>0.4083</v>
      </c>
      <c r="L33" s="10">
        <v>0.4098</v>
      </c>
      <c r="M33" s="10">
        <v>0.44979999999999998</v>
      </c>
      <c r="N33" s="10">
        <v>1.1217999999999999</v>
      </c>
    </row>
    <row r="35" spans="1:14" x14ac:dyDescent="0.2">
      <c r="A35" t="s">
        <v>26</v>
      </c>
    </row>
    <row r="36" spans="1:14" x14ac:dyDescent="0.2">
      <c r="B36" s="8" t="s">
        <v>0</v>
      </c>
      <c r="C36" s="8" t="s">
        <v>1</v>
      </c>
      <c r="D36" s="8" t="s">
        <v>2</v>
      </c>
      <c r="E36" s="8" t="s">
        <v>3</v>
      </c>
      <c r="F36" s="8" t="s">
        <v>4</v>
      </c>
      <c r="G36" s="8" t="s">
        <v>5</v>
      </c>
      <c r="H36" s="8" t="s">
        <v>6</v>
      </c>
      <c r="I36" s="8" t="s">
        <v>7</v>
      </c>
      <c r="J36" s="8" t="s">
        <v>8</v>
      </c>
      <c r="K36" s="8" t="s">
        <v>9</v>
      </c>
      <c r="L36" s="8" t="s">
        <v>10</v>
      </c>
      <c r="M36" s="8" t="s">
        <v>11</v>
      </c>
      <c r="N36" s="8" t="s">
        <v>12</v>
      </c>
    </row>
    <row r="37" spans="1:14" x14ac:dyDescent="0.2">
      <c r="B37" s="8" t="s">
        <v>13</v>
      </c>
      <c r="C37" s="9">
        <v>1.2712000000000001</v>
      </c>
      <c r="D37" s="10">
        <v>0.625</v>
      </c>
      <c r="E37" s="10">
        <v>0.53249999999999997</v>
      </c>
      <c r="F37" s="10">
        <v>0.44019999999999998</v>
      </c>
      <c r="G37" s="10">
        <v>0.45910000000000001</v>
      </c>
      <c r="H37" s="10">
        <v>0.43140000000000001</v>
      </c>
      <c r="I37" s="10">
        <v>0.42849999999999999</v>
      </c>
      <c r="J37" s="10">
        <v>0.48039999999999999</v>
      </c>
      <c r="K37" s="10">
        <v>0.45250000000000001</v>
      </c>
      <c r="L37" s="10">
        <v>0.47620000000000001</v>
      </c>
      <c r="M37" s="10">
        <v>0.3725</v>
      </c>
      <c r="N37" s="10">
        <v>0.50039999999999996</v>
      </c>
    </row>
    <row r="38" spans="1:14" x14ac:dyDescent="0.2">
      <c r="B38" s="8" t="s">
        <v>14</v>
      </c>
      <c r="C38" s="10">
        <v>0.49769999999999998</v>
      </c>
      <c r="D38" s="10">
        <v>0.48220000000000002</v>
      </c>
      <c r="E38" s="10">
        <v>0.35949999999999999</v>
      </c>
      <c r="F38" s="10">
        <v>0.32300000000000001</v>
      </c>
      <c r="G38" s="10">
        <v>0.2427</v>
      </c>
      <c r="H38" s="10">
        <v>0.27889999999999998</v>
      </c>
      <c r="I38" s="10">
        <v>0.31309999999999999</v>
      </c>
      <c r="J38" s="10">
        <v>0.29110000000000003</v>
      </c>
      <c r="K38" s="10">
        <v>0.25069999999999998</v>
      </c>
      <c r="L38" s="10">
        <v>0.28179999999999999</v>
      </c>
      <c r="M38" s="10">
        <v>0.27789999999999998</v>
      </c>
      <c r="N38" s="10">
        <v>0.37790000000000001</v>
      </c>
    </row>
    <row r="39" spans="1:14" x14ac:dyDescent="0.2">
      <c r="B39" s="8" t="s">
        <v>15</v>
      </c>
      <c r="C39" s="10">
        <v>0.52980000000000005</v>
      </c>
      <c r="D39" s="10">
        <v>0.35399999999999998</v>
      </c>
      <c r="E39" s="10">
        <v>0.38129999999999997</v>
      </c>
      <c r="F39" s="10">
        <v>0.2737</v>
      </c>
      <c r="G39" s="10">
        <v>0.2586</v>
      </c>
      <c r="H39" s="10">
        <v>0.31090000000000001</v>
      </c>
      <c r="I39" s="10">
        <v>0.2263</v>
      </c>
      <c r="J39" s="10">
        <v>0.2586</v>
      </c>
      <c r="K39" s="10">
        <v>0.315</v>
      </c>
      <c r="L39" s="10">
        <v>0.28149999999999997</v>
      </c>
      <c r="M39" s="10">
        <v>0.32229999999999998</v>
      </c>
      <c r="N39" s="10">
        <v>0.41149999999999998</v>
      </c>
    </row>
    <row r="40" spans="1:14" x14ac:dyDescent="0.2">
      <c r="B40" s="8" t="s">
        <v>16</v>
      </c>
      <c r="C40" s="10">
        <v>0.5323</v>
      </c>
      <c r="D40" s="10">
        <v>0.40239999999999998</v>
      </c>
      <c r="E40" s="10">
        <v>0.25469999999999998</v>
      </c>
      <c r="F40" s="10">
        <v>0.35610000000000003</v>
      </c>
      <c r="G40" s="10">
        <v>0.28960000000000002</v>
      </c>
      <c r="H40" s="10">
        <v>0.2465</v>
      </c>
      <c r="I40" s="10">
        <v>0.22159999999999999</v>
      </c>
      <c r="J40" s="10">
        <v>0.29299999999999998</v>
      </c>
      <c r="K40" s="10">
        <v>0.25900000000000001</v>
      </c>
      <c r="L40" s="10">
        <v>0.30270000000000002</v>
      </c>
      <c r="M40" s="10">
        <v>0.31330000000000002</v>
      </c>
      <c r="N40" s="11">
        <v>0.42009999999999997</v>
      </c>
    </row>
    <row r="41" spans="1:14" x14ac:dyDescent="0.2">
      <c r="B41" s="8" t="s">
        <v>17</v>
      </c>
      <c r="C41" s="10">
        <v>0.50509999999999999</v>
      </c>
      <c r="D41" s="10">
        <v>0.4133</v>
      </c>
      <c r="E41" s="10">
        <v>0.29609999999999997</v>
      </c>
      <c r="F41" s="10">
        <v>0.26719999999999999</v>
      </c>
      <c r="G41" s="10">
        <v>0.35570000000000002</v>
      </c>
      <c r="H41" s="10">
        <v>0.25900000000000001</v>
      </c>
      <c r="I41" s="10">
        <v>0.29709999999999998</v>
      </c>
      <c r="J41" s="10">
        <v>0.27689999999999998</v>
      </c>
      <c r="K41" s="10">
        <v>0.30149999999999999</v>
      </c>
      <c r="L41" s="10">
        <v>0.33529999999999999</v>
      </c>
      <c r="M41" s="10">
        <v>0.32519999999999999</v>
      </c>
      <c r="N41" s="10">
        <v>0.85829999999999995</v>
      </c>
    </row>
    <row r="42" spans="1:14" x14ac:dyDescent="0.2">
      <c r="B42" s="8" t="s">
        <v>18</v>
      </c>
      <c r="C42" s="10">
        <v>0.53959999999999997</v>
      </c>
      <c r="D42" s="10">
        <v>0.33800000000000002</v>
      </c>
      <c r="E42" s="10">
        <v>0.29909999999999998</v>
      </c>
      <c r="F42" s="10">
        <v>0.31819999999999998</v>
      </c>
      <c r="G42" s="10">
        <v>0.3493</v>
      </c>
      <c r="H42" s="10">
        <v>0.30719999999999997</v>
      </c>
      <c r="I42" s="10">
        <v>0.3251</v>
      </c>
      <c r="J42" s="10">
        <v>0.37</v>
      </c>
      <c r="K42" s="10">
        <v>0.36549999999999999</v>
      </c>
      <c r="L42" s="10">
        <v>0.34670000000000001</v>
      </c>
      <c r="M42" s="10">
        <v>0.38179999999999997</v>
      </c>
      <c r="N42" s="10">
        <v>0.81289999999999996</v>
      </c>
    </row>
    <row r="43" spans="1:14" x14ac:dyDescent="0.2">
      <c r="B43" s="8" t="s">
        <v>19</v>
      </c>
      <c r="C43" s="10">
        <v>0.56469999999999998</v>
      </c>
      <c r="D43" s="10">
        <v>0.36570000000000003</v>
      </c>
      <c r="E43" s="10">
        <v>0.35499999999999998</v>
      </c>
      <c r="F43" s="10">
        <v>0.44490000000000002</v>
      </c>
      <c r="G43" s="10">
        <v>0.29049999999999998</v>
      </c>
      <c r="H43" s="10">
        <v>0.30869999999999997</v>
      </c>
      <c r="I43" s="10">
        <v>0.3165</v>
      </c>
      <c r="J43" s="10">
        <v>0.30080000000000001</v>
      </c>
      <c r="K43" s="10">
        <v>0.34820000000000001</v>
      </c>
      <c r="L43" s="10">
        <v>0.36990000000000001</v>
      </c>
      <c r="M43" s="10">
        <v>0.44769999999999999</v>
      </c>
      <c r="N43" s="10">
        <v>0.55930000000000002</v>
      </c>
    </row>
    <row r="44" spans="1:14" x14ac:dyDescent="0.2">
      <c r="B44" s="8" t="s">
        <v>20</v>
      </c>
      <c r="C44" s="10">
        <v>0.6401</v>
      </c>
      <c r="D44" s="10">
        <v>0.38740000000000002</v>
      </c>
      <c r="E44" s="10">
        <v>0.4098</v>
      </c>
      <c r="F44" s="10">
        <v>0.34920000000000001</v>
      </c>
      <c r="G44" s="10">
        <v>0.31669999999999998</v>
      </c>
      <c r="H44" s="10">
        <v>0.3901</v>
      </c>
      <c r="I44" s="10">
        <v>0.35670000000000002</v>
      </c>
      <c r="J44" s="12">
        <v>4.0309999999999997</v>
      </c>
      <c r="K44" s="10">
        <v>0.31780000000000003</v>
      </c>
      <c r="L44" s="10">
        <v>0.28739999999999999</v>
      </c>
      <c r="M44" s="10">
        <v>0.36270000000000002</v>
      </c>
      <c r="N44" s="10">
        <v>0.91910000000000003</v>
      </c>
    </row>
    <row r="47" spans="1:14" x14ac:dyDescent="0.2">
      <c r="A47" t="s">
        <v>28</v>
      </c>
    </row>
    <row r="48" spans="1:14" x14ac:dyDescent="0.2">
      <c r="B48" s="8" t="s">
        <v>0</v>
      </c>
      <c r="C48" s="8" t="s">
        <v>1</v>
      </c>
      <c r="D48" s="8" t="s">
        <v>2</v>
      </c>
      <c r="E48" s="8" t="s">
        <v>3</v>
      </c>
      <c r="F48" s="8" t="s">
        <v>4</v>
      </c>
      <c r="G48" s="8" t="s">
        <v>5</v>
      </c>
      <c r="H48" s="8" t="s">
        <v>6</v>
      </c>
      <c r="I48" s="8" t="s">
        <v>7</v>
      </c>
      <c r="J48" s="8" t="s">
        <v>8</v>
      </c>
      <c r="K48" s="8" t="s">
        <v>9</v>
      </c>
      <c r="L48" s="8" t="s">
        <v>10</v>
      </c>
      <c r="M48" s="8" t="s">
        <v>11</v>
      </c>
      <c r="N48" s="8" t="s">
        <v>12</v>
      </c>
    </row>
    <row r="49" spans="2:14" x14ac:dyDescent="0.2">
      <c r="B49" s="8" t="s">
        <v>13</v>
      </c>
      <c r="C49" s="10">
        <f>AVERAGE(C37,C26,C15,C4)</f>
        <v>1.1641249999999999</v>
      </c>
      <c r="D49" s="10">
        <f t="shared" ref="D49:N49" si="0">AVERAGE(D37,D26,D15,D4)</f>
        <v>0.71604999999999996</v>
      </c>
      <c r="E49" s="10">
        <f t="shared" si="0"/>
        <v>0.62127500000000002</v>
      </c>
      <c r="F49" s="10">
        <f t="shared" si="0"/>
        <v>0.59265000000000001</v>
      </c>
      <c r="G49" s="10">
        <f t="shared" si="0"/>
        <v>0.50225000000000009</v>
      </c>
      <c r="H49" s="10">
        <f t="shared" si="0"/>
        <v>0.48967499999999997</v>
      </c>
      <c r="I49" s="10">
        <f t="shared" si="0"/>
        <v>0.49442499999999995</v>
      </c>
      <c r="J49" s="10">
        <f t="shared" si="0"/>
        <v>0.49314999999999998</v>
      </c>
      <c r="K49" s="10">
        <f t="shared" si="0"/>
        <v>0.51349999999999996</v>
      </c>
      <c r="L49" s="10">
        <f t="shared" si="0"/>
        <v>0.49315000000000003</v>
      </c>
      <c r="M49" s="10">
        <f t="shared" si="0"/>
        <v>0.46837499999999999</v>
      </c>
      <c r="N49" s="10">
        <f t="shared" si="0"/>
        <v>0.55865000000000009</v>
      </c>
    </row>
    <row r="50" spans="2:14" x14ac:dyDescent="0.2">
      <c r="B50" s="8" t="s">
        <v>14</v>
      </c>
      <c r="C50" s="10">
        <f t="shared" ref="C50:N50" si="1">AVERAGE(C38,C27,C16,C5)</f>
        <v>0.51552500000000001</v>
      </c>
      <c r="D50" s="10">
        <f t="shared" si="1"/>
        <v>0.49477499999999996</v>
      </c>
      <c r="E50" s="10">
        <f t="shared" si="1"/>
        <v>0.45004999999999995</v>
      </c>
      <c r="F50" s="10">
        <f t="shared" si="1"/>
        <v>0.41262499999999996</v>
      </c>
      <c r="G50" s="10">
        <f t="shared" si="1"/>
        <v>0.35835000000000006</v>
      </c>
      <c r="H50" s="10">
        <f t="shared" si="1"/>
        <v>0.35672500000000001</v>
      </c>
      <c r="I50" s="10">
        <f t="shared" si="1"/>
        <v>0.33215</v>
      </c>
      <c r="J50" s="10">
        <f t="shared" si="1"/>
        <v>0.33365</v>
      </c>
      <c r="K50" s="10">
        <f t="shared" si="1"/>
        <v>0.36467499999999997</v>
      </c>
      <c r="L50" s="10">
        <f t="shared" si="1"/>
        <v>0.37134999999999996</v>
      </c>
      <c r="M50" s="10">
        <f t="shared" si="1"/>
        <v>0.50462499999999999</v>
      </c>
      <c r="N50" s="10">
        <f t="shared" si="1"/>
        <v>0.44452499999999995</v>
      </c>
    </row>
    <row r="51" spans="2:14" x14ac:dyDescent="0.2">
      <c r="B51" s="8" t="s">
        <v>15</v>
      </c>
      <c r="C51" s="10">
        <f t="shared" ref="C51:N51" si="2">AVERAGE(C39,C28,C17,C6)</f>
        <v>0.51497499999999996</v>
      </c>
      <c r="D51" s="10">
        <f t="shared" si="2"/>
        <v>0.41239999999999999</v>
      </c>
      <c r="E51" s="10">
        <f t="shared" si="2"/>
        <v>0.405725</v>
      </c>
      <c r="F51" s="10">
        <f t="shared" si="2"/>
        <v>0.3498</v>
      </c>
      <c r="G51" s="10">
        <f t="shared" si="2"/>
        <v>0.348775</v>
      </c>
      <c r="H51" s="10">
        <f t="shared" si="2"/>
        <v>0.33492499999999997</v>
      </c>
      <c r="I51" s="10">
        <f t="shared" si="2"/>
        <v>0.31519999999999998</v>
      </c>
      <c r="J51" s="10">
        <f t="shared" si="2"/>
        <v>0.33044999999999997</v>
      </c>
      <c r="K51" s="10">
        <f t="shared" si="2"/>
        <v>0.40990000000000004</v>
      </c>
      <c r="L51" s="10">
        <f t="shared" si="2"/>
        <v>0.3735</v>
      </c>
      <c r="M51" s="10">
        <f t="shared" si="2"/>
        <v>0.36285000000000001</v>
      </c>
      <c r="N51" s="10">
        <f t="shared" si="2"/>
        <v>0.48402499999999993</v>
      </c>
    </row>
    <row r="52" spans="2:14" x14ac:dyDescent="0.2">
      <c r="B52" s="8" t="s">
        <v>16</v>
      </c>
      <c r="C52" s="10">
        <f t="shared" ref="C52:N52" si="3">AVERAGE(C40,C29,C18,C7)</f>
        <v>0.47745000000000004</v>
      </c>
      <c r="D52" s="10">
        <f t="shared" si="3"/>
        <v>0.43217499999999998</v>
      </c>
      <c r="E52" s="10">
        <f t="shared" si="3"/>
        <v>0.36899999999999999</v>
      </c>
      <c r="F52" s="10">
        <f t="shared" si="3"/>
        <v>0.39532500000000004</v>
      </c>
      <c r="G52" s="10">
        <f t="shared" si="3"/>
        <v>0.355825</v>
      </c>
      <c r="H52" s="10">
        <f t="shared" si="3"/>
        <v>0.32719999999999999</v>
      </c>
      <c r="I52" s="10">
        <f t="shared" si="3"/>
        <v>0.32645000000000002</v>
      </c>
      <c r="J52" s="10">
        <f t="shared" si="3"/>
        <v>0.38019999999999998</v>
      </c>
      <c r="K52" s="10">
        <f t="shared" si="3"/>
        <v>0.35147499999999998</v>
      </c>
      <c r="L52" s="10">
        <f t="shared" si="3"/>
        <v>0.40839999999999999</v>
      </c>
      <c r="M52" s="10">
        <f t="shared" si="3"/>
        <v>0.39415</v>
      </c>
      <c r="N52" s="10">
        <f t="shared" si="3"/>
        <v>0.47350000000000003</v>
      </c>
    </row>
    <row r="53" spans="2:14" x14ac:dyDescent="0.2">
      <c r="B53" s="8" t="s">
        <v>17</v>
      </c>
      <c r="C53" s="10">
        <f t="shared" ref="C53:N53" si="4">AVERAGE(C41,C30,C19,C8)</f>
        <v>0.50249999999999995</v>
      </c>
      <c r="D53" s="10">
        <f t="shared" si="4"/>
        <v>0.45960000000000001</v>
      </c>
      <c r="E53" s="10">
        <f t="shared" si="4"/>
        <v>0.395675</v>
      </c>
      <c r="F53" s="10">
        <f t="shared" si="4"/>
        <v>0.33600000000000002</v>
      </c>
      <c r="G53" s="10">
        <f t="shared" si="4"/>
        <v>0.37087500000000001</v>
      </c>
      <c r="H53" s="10">
        <f t="shared" si="4"/>
        <v>0.36170000000000002</v>
      </c>
      <c r="I53" s="10">
        <f t="shared" si="4"/>
        <v>0.37149999999999994</v>
      </c>
      <c r="J53" s="10">
        <f t="shared" si="4"/>
        <v>0.42207499999999998</v>
      </c>
      <c r="K53" s="10">
        <f t="shared" si="4"/>
        <v>0.38027500000000003</v>
      </c>
      <c r="L53" s="10">
        <f t="shared" si="4"/>
        <v>0.40942500000000004</v>
      </c>
      <c r="M53" s="10">
        <f t="shared" si="4"/>
        <v>0.39487499999999998</v>
      </c>
      <c r="N53" s="10">
        <f t="shared" si="4"/>
        <v>1.10195</v>
      </c>
    </row>
    <row r="54" spans="2:14" x14ac:dyDescent="0.2">
      <c r="B54" s="8" t="s">
        <v>18</v>
      </c>
      <c r="C54" s="10">
        <f t="shared" ref="C54:N54" si="5">AVERAGE(C42,C31,C20,C9)</f>
        <v>0.53422499999999995</v>
      </c>
      <c r="D54" s="10">
        <f t="shared" si="5"/>
        <v>0.44832499999999997</v>
      </c>
      <c r="E54" s="10">
        <f t="shared" si="5"/>
        <v>0.41739999999999999</v>
      </c>
      <c r="F54" s="10">
        <f t="shared" si="5"/>
        <v>0.37212500000000004</v>
      </c>
      <c r="G54" s="10">
        <f t="shared" si="5"/>
        <v>0.38827499999999998</v>
      </c>
      <c r="H54" s="10">
        <f t="shared" si="5"/>
        <v>0.35887499999999994</v>
      </c>
      <c r="I54" s="10">
        <f t="shared" si="5"/>
        <v>0.40832499999999999</v>
      </c>
      <c r="J54" s="10">
        <f t="shared" si="5"/>
        <v>0.462225</v>
      </c>
      <c r="K54" s="10">
        <f t="shared" si="5"/>
        <v>0.41349999999999998</v>
      </c>
      <c r="L54" s="10">
        <f t="shared" si="5"/>
        <v>0.41402499999999998</v>
      </c>
      <c r="M54" s="10">
        <f t="shared" si="5"/>
        <v>0.48652499999999999</v>
      </c>
      <c r="N54" s="10">
        <f t="shared" si="5"/>
        <v>1.0963500000000002</v>
      </c>
    </row>
    <row r="55" spans="2:14" x14ac:dyDescent="0.2">
      <c r="B55" s="8" t="s">
        <v>19</v>
      </c>
      <c r="C55" s="10">
        <f t="shared" ref="C55:N55" si="6">AVERAGE(C43,C32,C21,C10)</f>
        <v>0.51784999999999992</v>
      </c>
      <c r="D55" s="10">
        <f t="shared" si="6"/>
        <v>0.43030000000000002</v>
      </c>
      <c r="E55" s="10">
        <f t="shared" si="6"/>
        <v>0.44697500000000001</v>
      </c>
      <c r="F55" s="10">
        <f t="shared" si="6"/>
        <v>0.47409999999999997</v>
      </c>
      <c r="G55" s="10">
        <f t="shared" si="6"/>
        <v>0.40032499999999993</v>
      </c>
      <c r="H55" s="10">
        <f t="shared" si="6"/>
        <v>0.4279</v>
      </c>
      <c r="I55" s="10">
        <f t="shared" si="6"/>
        <v>0.44677500000000003</v>
      </c>
      <c r="J55" s="10">
        <f t="shared" si="6"/>
        <v>0.41757500000000003</v>
      </c>
      <c r="K55" s="10">
        <f t="shared" si="6"/>
        <v>0.45407500000000001</v>
      </c>
      <c r="L55" s="10">
        <f t="shared" si="6"/>
        <v>0.44869999999999999</v>
      </c>
      <c r="M55" s="10">
        <f t="shared" si="6"/>
        <v>0.49364999999999998</v>
      </c>
      <c r="N55" s="10">
        <f t="shared" si="6"/>
        <v>0.94445000000000001</v>
      </c>
    </row>
    <row r="56" spans="2:14" x14ac:dyDescent="0.2">
      <c r="B56" s="8" t="s">
        <v>20</v>
      </c>
      <c r="C56" s="10">
        <f t="shared" ref="C56:N56" si="7">AVERAGE(C44,C33,C22,C11)</f>
        <v>0.56630000000000003</v>
      </c>
      <c r="D56" s="10">
        <f t="shared" si="7"/>
        <v>0.49835000000000002</v>
      </c>
      <c r="E56" s="10">
        <f t="shared" si="7"/>
        <v>0.50747500000000001</v>
      </c>
      <c r="F56" s="10">
        <f t="shared" si="7"/>
        <v>0.48422500000000002</v>
      </c>
      <c r="G56" s="10">
        <f t="shared" si="7"/>
        <v>0.45302500000000001</v>
      </c>
      <c r="H56" s="10">
        <f t="shared" si="7"/>
        <v>0.47819999999999996</v>
      </c>
      <c r="I56" s="10">
        <f t="shared" si="7"/>
        <v>0.449125</v>
      </c>
      <c r="J56" s="10">
        <f t="shared" si="7"/>
        <v>4.0734999999999992</v>
      </c>
      <c r="K56" s="10">
        <f t="shared" si="7"/>
        <v>0.43335000000000001</v>
      </c>
      <c r="L56" s="10">
        <f t="shared" si="7"/>
        <v>0.42680000000000001</v>
      </c>
      <c r="M56" s="10">
        <f t="shared" si="7"/>
        <v>0.48964999999999997</v>
      </c>
      <c r="N56" s="10">
        <f t="shared" si="7"/>
        <v>1.0061499999999999</v>
      </c>
    </row>
  </sheetData>
  <conditionalFormatting sqref="C49:N56">
    <cfRule type="cellIs" dxfId="1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30F5-2333-4DD3-9C4E-7A500BFF184A}">
  <dimension ref="A1:P58"/>
  <sheetViews>
    <sheetView workbookViewId="0">
      <selection activeCell="P11" sqref="P11"/>
    </sheetView>
  </sheetViews>
  <sheetFormatPr baseColWidth="10" defaultColWidth="8.83203125" defaultRowHeight="15" x14ac:dyDescent="0.2"/>
  <cols>
    <col min="3" max="14" width="9.1640625" bestFit="1" customWidth="1"/>
  </cols>
  <sheetData>
    <row r="1" spans="1:16" x14ac:dyDescent="0.2">
      <c r="A1" t="s">
        <v>27</v>
      </c>
      <c r="O1" s="6"/>
      <c r="P1" t="s">
        <v>22</v>
      </c>
    </row>
    <row r="2" spans="1:16" x14ac:dyDescent="0.2">
      <c r="A2" t="s">
        <v>21</v>
      </c>
    </row>
    <row r="3" spans="1:16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spans="1:16" x14ac:dyDescent="0.2">
      <c r="B4" s="1" t="s">
        <v>13</v>
      </c>
      <c r="C4" s="2">
        <f>Sheet1!C4/Sheet1!$N7</f>
        <v>2.0785570408350118</v>
      </c>
      <c r="D4" s="3">
        <f>Sheet1!D4/Sheet1!$N7</f>
        <v>1.3248489287676251</v>
      </c>
      <c r="E4" s="3">
        <f>Sheet1!E4/Sheet1!$N7</f>
        <v>1.2713788683391321</v>
      </c>
      <c r="F4" s="3">
        <f>Sheet1!F4/Sheet1!$N7</f>
        <v>1.1545504486357809</v>
      </c>
      <c r="G4" s="3">
        <f>Sheet1!G4/Sheet1!$N7</f>
        <v>0.98901300128181646</v>
      </c>
      <c r="H4" s="3">
        <f>Sheet1!H4/Sheet1!$N7</f>
        <v>0.92803515839589823</v>
      </c>
      <c r="I4" s="3">
        <f>Sheet1!I4/Sheet1!$N7</f>
        <v>1.0452298113898553</v>
      </c>
      <c r="J4" s="3">
        <f>Sheet1!J4/Sheet1!$N7</f>
        <v>0.96905328694378312</v>
      </c>
      <c r="K4" s="3">
        <f>Sheet1!K4/Sheet1!$N7</f>
        <v>1.0761765244460721</v>
      </c>
      <c r="L4" s="3">
        <f>Sheet1!L4/Sheet1!$N7</f>
        <v>1.0075077824574254</v>
      </c>
      <c r="M4" s="3">
        <f>Sheet1!M4/Sheet1!$N7</f>
        <v>1.0963193554294084</v>
      </c>
      <c r="N4" s="3">
        <f>Sheet1!N4/Sheet1!$N7</f>
        <v>1.2067386925471526</v>
      </c>
    </row>
    <row r="5" spans="1:16" x14ac:dyDescent="0.2">
      <c r="B5" s="1" t="s">
        <v>14</v>
      </c>
      <c r="C5" s="3">
        <f>Sheet1!C5/Sheet1!$N7</f>
        <v>0.97674418604651159</v>
      </c>
      <c r="D5" s="3">
        <f>Sheet1!D5/Sheet1!$N7</f>
        <v>0.95513642190075065</v>
      </c>
      <c r="E5" s="3">
        <f>Sheet1!E5/Sheet1!$N7</f>
        <v>0.98077275224317884</v>
      </c>
      <c r="F5" s="3">
        <f>Sheet1!F5/Sheet1!$N7</f>
        <v>0.82750412012451935</v>
      </c>
      <c r="G5" s="3">
        <f>Sheet1!G5/Sheet1!$N7</f>
        <v>0.78044314228163336</v>
      </c>
      <c r="H5" s="3">
        <f>Sheet1!H5/Sheet1!$N7</f>
        <v>0.77476652627723852</v>
      </c>
      <c r="I5" s="3">
        <f>Sheet1!I5/Sheet1!$N7</f>
        <v>0.78355612525178531</v>
      </c>
      <c r="J5" s="3">
        <f>Sheet1!J5/Sheet1!$N7</f>
        <v>0.76890679362754066</v>
      </c>
      <c r="K5" s="3">
        <f>Sheet1!K5/Sheet1!$N7</f>
        <v>0.9269364585240798</v>
      </c>
      <c r="L5" s="3">
        <f>Sheet1!L5/Sheet1!$N7</f>
        <v>0.89141182933528651</v>
      </c>
      <c r="M5" s="3">
        <f>Sheet1!M5/Sheet1!$N7</f>
        <v>0.87035341512543485</v>
      </c>
      <c r="N5" s="3">
        <f>Sheet1!N5/Sheet1!$N7</f>
        <v>0.93242995788317151</v>
      </c>
    </row>
    <row r="6" spans="1:16" x14ac:dyDescent="0.2">
      <c r="B6" s="1" t="s">
        <v>15</v>
      </c>
      <c r="C6" s="3">
        <f>Sheet1!C6/Sheet1!$N7</f>
        <v>1.0053103827137888</v>
      </c>
      <c r="D6" s="3">
        <f>Sheet1!D6/Sheet1!$N7</f>
        <v>0.79747299029481777</v>
      </c>
      <c r="E6" s="3">
        <f>Sheet1!E6/Sheet1!$N7</f>
        <v>0.85845083318073612</v>
      </c>
      <c r="F6" s="3">
        <f>Sheet1!F6/Sheet1!$N7</f>
        <v>0.76176524446072136</v>
      </c>
      <c r="G6" s="3">
        <f>Sheet1!G6/Sheet1!$N7</f>
        <v>0.84087163523164254</v>
      </c>
      <c r="H6" s="3">
        <f>Sheet1!H6/Sheet1!$N7</f>
        <v>0.78630287493133122</v>
      </c>
      <c r="I6" s="3">
        <f>Sheet1!I6/Sheet1!$N7</f>
        <v>0.80607947262406143</v>
      </c>
      <c r="J6" s="3">
        <f>Sheet1!J6/Sheet1!$N7</f>
        <v>0.78318989196117927</v>
      </c>
      <c r="K6" s="3">
        <f>Sheet1!K6/Sheet1!$N7</f>
        <v>1.0175791979490936</v>
      </c>
      <c r="L6" s="3">
        <f>Sheet1!L6/Sheet1!$N7</f>
        <v>0.89269364585240796</v>
      </c>
      <c r="M6" s="3">
        <f>Sheet1!M6/Sheet1!$N7</f>
        <v>0.86193004944149421</v>
      </c>
      <c r="N6" s="3">
        <f>Sheet1!N6/Sheet1!$N7</f>
        <v>1.0027467496795457</v>
      </c>
    </row>
    <row r="7" spans="1:16" x14ac:dyDescent="0.2">
      <c r="B7" s="1" t="s">
        <v>16</v>
      </c>
      <c r="C7" s="3">
        <f>Sheet1!C7/Sheet1!$N7</f>
        <v>0.95403772202893244</v>
      </c>
      <c r="D7" s="3">
        <f>Sheet1!D7/Sheet1!$N7</f>
        <v>0.86156381615088806</v>
      </c>
      <c r="E7" s="3">
        <f>Sheet1!E7/Sheet1!$N7</f>
        <v>0.79454312396996885</v>
      </c>
      <c r="F7" s="3">
        <f>Sheet1!F7/Sheet1!$N7</f>
        <v>0.81816517121406329</v>
      </c>
      <c r="G7" s="3">
        <f>Sheet1!G7/Sheet1!$N7</f>
        <v>0.86669108221937374</v>
      </c>
      <c r="H7" s="3">
        <f>Sheet1!H7/Sheet1!$N7</f>
        <v>0.73283281450283821</v>
      </c>
      <c r="I7" s="3">
        <f>Sheet1!I7/Sheet1!$N7</f>
        <v>0.76341329426844895</v>
      </c>
      <c r="J7" s="3">
        <f>Sheet1!J7/Sheet1!$N7</f>
        <v>0.924189708844534</v>
      </c>
      <c r="K7" s="3">
        <f>Sheet1!K7/Sheet1!$N7</f>
        <v>0.8022340230726972</v>
      </c>
      <c r="L7" s="3">
        <f>Sheet1!L7/Sheet1!$N7</f>
        <v>0.90587804431422803</v>
      </c>
      <c r="M7" s="3">
        <f>Sheet1!M7/Sheet1!$N7</f>
        <v>1.0637245925654641</v>
      </c>
      <c r="N7" s="4">
        <f>Sheet1!N7/Sheet1!$N7</f>
        <v>1</v>
      </c>
    </row>
    <row r="8" spans="1:16" x14ac:dyDescent="0.2">
      <c r="B8" s="1" t="s">
        <v>17</v>
      </c>
      <c r="C8" s="3">
        <f>Sheet1!C8/Sheet1!$N7</f>
        <v>0.92364035890862461</v>
      </c>
      <c r="D8" s="3">
        <f>Sheet1!D8/Sheet1!$N7</f>
        <v>1.0633583592748581</v>
      </c>
      <c r="E8" s="3">
        <f>Sheet1!E8/Sheet1!$N7</f>
        <v>0.8538729170481596</v>
      </c>
      <c r="F8" s="3">
        <f>Sheet1!F8/Sheet1!$N7</f>
        <v>0.78721845815784652</v>
      </c>
      <c r="G8" s="3">
        <f>Sheet1!G8/Sheet1!$N7</f>
        <v>0.83061710309467129</v>
      </c>
      <c r="H8" s="3">
        <f>Sheet1!H8/Sheet1!$N7</f>
        <v>0.8110236220472441</v>
      </c>
      <c r="I8" s="3">
        <f>Sheet1!I8/Sheet1!$N7</f>
        <v>0.95092473905878039</v>
      </c>
      <c r="J8" s="3">
        <f>Sheet1!J8/Sheet1!$N7</f>
        <v>1.0324116462186412</v>
      </c>
      <c r="K8" s="3">
        <f>Sheet1!K8/Sheet1!$N7</f>
        <v>0.84581578465482499</v>
      </c>
      <c r="L8" s="3">
        <f>Sheet1!L8/Sheet1!$N7</f>
        <v>0.93517670756271742</v>
      </c>
      <c r="M8" s="3">
        <f>Sheet1!M8/Sheet1!$N7</f>
        <v>0.95495330525544764</v>
      </c>
      <c r="N8" s="3">
        <f>Sheet1!N8/Sheet1!$N7</f>
        <v>2.2285295733382164</v>
      </c>
    </row>
    <row r="9" spans="1:16" x14ac:dyDescent="0.2">
      <c r="B9" s="1" t="s">
        <v>18</v>
      </c>
      <c r="C9" s="3">
        <f>Sheet1!C9/Sheet1!$N7</f>
        <v>0.93462735762680815</v>
      </c>
      <c r="D9" s="3">
        <f>Sheet1!D9/Sheet1!$N7</f>
        <v>1.0247207471159128</v>
      </c>
      <c r="E9" s="3">
        <f>Sheet1!E9/Sheet1!$N7</f>
        <v>0.88298846365134587</v>
      </c>
      <c r="F9" s="3">
        <f>Sheet1!F9/Sheet1!$N7</f>
        <v>0.81395348837209303</v>
      </c>
      <c r="G9" s="3">
        <f>Sheet1!G9/Sheet1!$N7</f>
        <v>0.97125068668741976</v>
      </c>
      <c r="H9" s="3">
        <f>Sheet1!H9/Sheet1!$N7</f>
        <v>0.79344442409815052</v>
      </c>
      <c r="I9" s="3">
        <f>Sheet1!I9/Sheet1!$N7</f>
        <v>0.97106757004211675</v>
      </c>
      <c r="J9" s="3">
        <f>Sheet1!J9/Sheet1!$N7</f>
        <v>1.0545687603003111</v>
      </c>
      <c r="K9" s="3">
        <f>Sheet1!K9/Sheet1!$N7</f>
        <v>1.0023805163889397</v>
      </c>
      <c r="L9" s="3">
        <f>Sheet1!L9/Sheet1!$N7</f>
        <v>0.90532869437831898</v>
      </c>
      <c r="M9" s="3">
        <f>Sheet1!M9/Sheet1!$N7</f>
        <v>1.1735945797472991</v>
      </c>
      <c r="N9" s="3">
        <f>Sheet1!N9/Sheet1!$N7</f>
        <v>1.8608313495696758</v>
      </c>
    </row>
    <row r="10" spans="1:16" x14ac:dyDescent="0.2">
      <c r="B10" s="1" t="s">
        <v>19</v>
      </c>
      <c r="C10" s="3">
        <f>Sheet1!C10/Sheet1!$N7</f>
        <v>0.89122871268998349</v>
      </c>
      <c r="D10" s="3">
        <f>Sheet1!D10/Sheet1!$N7</f>
        <v>0.96026368796923633</v>
      </c>
      <c r="E10" s="3">
        <f>Sheet1!E10/Sheet1!$N7</f>
        <v>0.9956052005127265</v>
      </c>
      <c r="F10" s="3">
        <f>Sheet1!F10/Sheet1!$N7</f>
        <v>1.0492583775865225</v>
      </c>
      <c r="G10" s="3">
        <f>Sheet1!G10/Sheet1!$N7</f>
        <v>0.82548983702618561</v>
      </c>
      <c r="H10" s="3">
        <f>Sheet1!H10/Sheet1!$N7</f>
        <v>1.0071415491668192</v>
      </c>
      <c r="I10" s="3">
        <f>Sheet1!I10/Sheet1!$N7</f>
        <v>1.2235854239150339</v>
      </c>
      <c r="J10" s="3">
        <f>Sheet1!J10/Sheet1!$N7</f>
        <v>1.0882622230360741</v>
      </c>
      <c r="K10" s="3">
        <f>Sheet1!K10/Sheet1!$N7</f>
        <v>1.1543673319904777</v>
      </c>
      <c r="L10" s="3">
        <f>Sheet1!L10/Sheet1!$N7</f>
        <v>1.0391869620948544</v>
      </c>
      <c r="M10" s="3">
        <f>Sheet1!M10/Sheet1!$N7</f>
        <v>1.1563816150888113</v>
      </c>
      <c r="N10" s="3">
        <f>Sheet1!N10/Sheet1!$N7</f>
        <v>2.3545138253067202</v>
      </c>
    </row>
    <row r="11" spans="1:16" x14ac:dyDescent="0.2">
      <c r="B11" s="1" t="s">
        <v>20</v>
      </c>
      <c r="C11" s="3">
        <f>Sheet1!C11/Sheet1!$N7</f>
        <v>1.0640908258560702</v>
      </c>
      <c r="D11" s="3">
        <f>Sheet1!D11/Sheet1!$N7</f>
        <v>1.1254349020325947</v>
      </c>
      <c r="E11" s="3">
        <f>Sheet1!E11/Sheet1!$N7</f>
        <v>1.0692180919245557</v>
      </c>
      <c r="F11" s="3">
        <f>Sheet1!F11/Sheet1!$N7</f>
        <v>1.1691997802600256</v>
      </c>
      <c r="G11" s="3">
        <f>Sheet1!G11/Sheet1!$N7</f>
        <v>1.1397180003662331</v>
      </c>
      <c r="H11" s="3">
        <f>Sheet1!H11/Sheet1!$N7</f>
        <v>1.0543856436550081</v>
      </c>
      <c r="I11" s="3">
        <f>Sheet1!I11/Sheet1!$N7</f>
        <v>1.0899102728438013</v>
      </c>
      <c r="J11" s="14">
        <f>Sheet1!J11/Sheet1!$N7</f>
        <v>7.5077824574253791</v>
      </c>
      <c r="K11" s="3">
        <f>Sheet1!K11/Sheet1!$N7</f>
        <v>0.98937923457242261</v>
      </c>
      <c r="L11" s="3">
        <f>Sheet1!L11/Sheet1!$N7</f>
        <v>1.1003479216260756</v>
      </c>
      <c r="M11" s="3">
        <f>Sheet1!M11/Sheet1!$N7</f>
        <v>1.1007141549166819</v>
      </c>
      <c r="N11" s="3">
        <f>Sheet1!N11/Sheet1!$N7</f>
        <v>2.171946529939571</v>
      </c>
    </row>
    <row r="13" spans="1:16" x14ac:dyDescent="0.2">
      <c r="A13" t="s">
        <v>23</v>
      </c>
    </row>
    <row r="14" spans="1:16" x14ac:dyDescent="0.2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</row>
    <row r="15" spans="1:16" x14ac:dyDescent="0.2">
      <c r="B15" s="1" t="s">
        <v>13</v>
      </c>
      <c r="C15" s="2">
        <f>Sheet1!C15/Sheet1!$N18</f>
        <v>2.4987642115669795</v>
      </c>
      <c r="D15" s="3">
        <f>Sheet1!D15/Sheet1!$N18</f>
        <v>1.4987642115669797</v>
      </c>
      <c r="E15" s="3">
        <f>Sheet1!E15/Sheet1!$N18</f>
        <v>1.36159169550173</v>
      </c>
      <c r="F15" s="3">
        <f>Sheet1!F15/Sheet1!$N18</f>
        <v>1.4362333168561541</v>
      </c>
      <c r="G15" s="3">
        <f>Sheet1!G15/Sheet1!$N18</f>
        <v>1.1431043005437469</v>
      </c>
      <c r="H15" s="3">
        <f>Sheet1!H15/Sheet1!$N18</f>
        <v>1.087740978744439</v>
      </c>
      <c r="I15" s="3">
        <f>Sheet1!I15/Sheet1!$N18</f>
        <v>1.166584280771132</v>
      </c>
      <c r="J15" s="3">
        <f>Sheet1!J15/Sheet1!$N18</f>
        <v>1.2345526445872466</v>
      </c>
      <c r="K15" s="3">
        <f>Sheet1!K15/Sheet1!$N18</f>
        <v>1.2711319822046465</v>
      </c>
      <c r="L15" s="3">
        <f>Sheet1!L15/Sheet1!$N18</f>
        <v>1.1601581809194266</v>
      </c>
      <c r="M15" s="3">
        <f>Sheet1!M15/Sheet1!$N18</f>
        <v>1.1989619377162628</v>
      </c>
      <c r="N15" s="3">
        <f>Sheet1!N15/Sheet1!$N18</f>
        <v>1.3479980227385071</v>
      </c>
    </row>
    <row r="16" spans="1:16" x14ac:dyDescent="0.2">
      <c r="B16" s="1" t="s">
        <v>14</v>
      </c>
      <c r="C16" s="3">
        <f>Sheet1!C16/Sheet1!$N18</f>
        <v>1.1505190311418685</v>
      </c>
      <c r="D16" s="3">
        <f>Sheet1!D16/Sheet1!$N18</f>
        <v>0.96910528917449335</v>
      </c>
      <c r="E16" s="3">
        <f>Sheet1!E16/Sheet1!$N18</f>
        <v>0.94686109738012847</v>
      </c>
      <c r="F16" s="3">
        <f>Sheet1!F16/Sheet1!$N18</f>
        <v>0.89396935244686115</v>
      </c>
      <c r="G16" s="3">
        <f>Sheet1!G16/Sheet1!$N18</f>
        <v>0.76470588235294112</v>
      </c>
      <c r="H16" s="3">
        <f>Sheet1!H16/Sheet1!$N18</f>
        <v>0.85541275333662881</v>
      </c>
      <c r="I16" s="3">
        <f>Sheet1!I16/Sheet1!$N18</f>
        <v>0.6418685121107266</v>
      </c>
      <c r="J16" s="3">
        <f>Sheet1!J16/Sheet1!$N18</f>
        <v>0.76421156697973303</v>
      </c>
      <c r="K16" s="3">
        <f>Sheet1!K16/Sheet1!$N18</f>
        <v>0.77681660899653981</v>
      </c>
      <c r="L16" s="3">
        <f>Sheet1!L16/Sheet1!$N18</f>
        <v>0.87221947602570438</v>
      </c>
      <c r="M16" s="3">
        <f>Sheet1!M16/Sheet1!$N18</f>
        <v>2.2254078101828965</v>
      </c>
      <c r="N16" s="3">
        <f>Sheet1!N16/Sheet1!$N18</f>
        <v>1.0427582797825012</v>
      </c>
    </row>
    <row r="17" spans="1:14" x14ac:dyDescent="0.2">
      <c r="B17" s="1" t="s">
        <v>15</v>
      </c>
      <c r="C17" s="3">
        <f>Sheet1!C17/Sheet1!$N18</f>
        <v>1.2671774592189817</v>
      </c>
      <c r="D17" s="3">
        <f>Sheet1!D17/Sheet1!$N18</f>
        <v>0.9915966386554621</v>
      </c>
      <c r="E17" s="3">
        <f>Sheet1!E17/Sheet1!$N18</f>
        <v>0.77755808205635191</v>
      </c>
      <c r="F17" s="3">
        <f>Sheet1!F17/Sheet1!$N18</f>
        <v>0.78942165101334649</v>
      </c>
      <c r="G17" s="3">
        <f>Sheet1!G17/Sheet1!$N18</f>
        <v>0.85986159169550169</v>
      </c>
      <c r="H17" s="3">
        <f>Sheet1!H17/Sheet1!$N18</f>
        <v>0.71428571428571419</v>
      </c>
      <c r="I17" s="3">
        <f>Sheet1!I17/Sheet1!$N18</f>
        <v>0.68660405338606023</v>
      </c>
      <c r="J17" s="3">
        <f>Sheet1!J17/Sheet1!$N18</f>
        <v>0.75407810182896684</v>
      </c>
      <c r="K17" s="3">
        <f>Sheet1!K17/Sheet1!$N18</f>
        <v>0.93598615916955008</v>
      </c>
      <c r="L17" s="3">
        <f>Sheet1!L17/Sheet1!$N18</f>
        <v>0.74715768660405335</v>
      </c>
      <c r="M17" s="3">
        <f>Sheet1!M17/Sheet1!$N18</f>
        <v>0.80746416213544236</v>
      </c>
      <c r="N17" s="3">
        <f>Sheet1!N17/Sheet1!$N18</f>
        <v>1.1824023727137913</v>
      </c>
    </row>
    <row r="18" spans="1:14" x14ac:dyDescent="0.2">
      <c r="B18" s="1" t="s">
        <v>16</v>
      </c>
      <c r="C18" s="3">
        <f>Sheet1!C18/Sheet1!$N18</f>
        <v>0.852199703410776</v>
      </c>
      <c r="D18" s="3">
        <f>Sheet1!D18/Sheet1!$N18</f>
        <v>0.85022244191794349</v>
      </c>
      <c r="E18" s="3">
        <f>Sheet1!E18/Sheet1!$N18</f>
        <v>0.75383094414236274</v>
      </c>
      <c r="F18" s="3">
        <f>Sheet1!F18/Sheet1!$N18</f>
        <v>0.88210578348986646</v>
      </c>
      <c r="G18" s="3">
        <f>Sheet1!G18/Sheet1!$N18</f>
        <v>0.66287691547207117</v>
      </c>
      <c r="H18" s="3">
        <f>Sheet1!H18/Sheet1!$N18</f>
        <v>0.66040533860603057</v>
      </c>
      <c r="I18" s="3">
        <f>Sheet1!I18/Sheet1!$N18</f>
        <v>0.81562036579337616</v>
      </c>
      <c r="J18" s="3">
        <f>Sheet1!J18/Sheet1!$N18</f>
        <v>0.8640632723677707</v>
      </c>
      <c r="K18" s="3">
        <f>Sheet1!K18/Sheet1!$N18</f>
        <v>0.79584775086505188</v>
      </c>
      <c r="L18" s="3">
        <f>Sheet1!L18/Sheet1!$N18</f>
        <v>1.0714285714285714</v>
      </c>
      <c r="M18" s="3">
        <f>Sheet1!M18/Sheet1!$N18</f>
        <v>0.7834898665348492</v>
      </c>
      <c r="N18" s="4">
        <f>Sheet1!N18/Sheet1!$N18</f>
        <v>1</v>
      </c>
    </row>
    <row r="19" spans="1:14" x14ac:dyDescent="0.2">
      <c r="B19" s="1" t="s">
        <v>17</v>
      </c>
      <c r="C19" s="3">
        <f>Sheet1!C19/Sheet1!$N18</f>
        <v>1.1428571428571428</v>
      </c>
      <c r="D19" s="3">
        <f>Sheet1!D19/Sheet1!$N18</f>
        <v>0.91127039050914482</v>
      </c>
      <c r="E19" s="3">
        <f>Sheet1!E19/Sheet1!$N18</f>
        <v>0.8546712802768166</v>
      </c>
      <c r="F19" s="3">
        <f>Sheet1!F19/Sheet1!$N18</f>
        <v>0.7802768166089965</v>
      </c>
      <c r="G19" s="3">
        <f>Sheet1!G19/Sheet1!$N18</f>
        <v>0.80227385071675728</v>
      </c>
      <c r="H19" s="3">
        <f>Sheet1!H19/Sheet1!$N18</f>
        <v>0.72145328719723179</v>
      </c>
      <c r="I19" s="3">
        <f>Sheet1!I19/Sheet1!$N18</f>
        <v>0.81833910034602075</v>
      </c>
      <c r="J19" s="3">
        <f>Sheet1!J19/Sheet1!$N18</f>
        <v>1.0538803756796835</v>
      </c>
      <c r="K19" s="3">
        <f>Sheet1!K19/Sheet1!$N18</f>
        <v>0.90657439446366783</v>
      </c>
      <c r="L19" s="3">
        <f>Sheet1!L19/Sheet1!$N18</f>
        <v>0.97676717745921893</v>
      </c>
      <c r="M19" s="3">
        <f>Sheet1!M19/Sheet1!$N18</f>
        <v>0.78324270884824521</v>
      </c>
      <c r="N19" s="3">
        <f>Sheet1!N19/Sheet1!$N18</f>
        <v>3.065496786950074</v>
      </c>
    </row>
    <row r="20" spans="1:14" x14ac:dyDescent="0.2">
      <c r="B20" s="1" t="s">
        <v>18</v>
      </c>
      <c r="C20" s="3">
        <f>Sheet1!C20/Sheet1!$N18</f>
        <v>1.1379139891250616</v>
      </c>
      <c r="D20" s="3">
        <f>Sheet1!D20/Sheet1!$N18</f>
        <v>0.93598615916955008</v>
      </c>
      <c r="E20" s="3">
        <f>Sheet1!E20/Sheet1!$N18</f>
        <v>0.84107760751359362</v>
      </c>
      <c r="F20" s="3">
        <f>Sheet1!F20/Sheet1!$N18</f>
        <v>0.82204646564508155</v>
      </c>
      <c r="G20" s="3">
        <f>Sheet1!G20/Sheet1!$N18</f>
        <v>0.78299555116164121</v>
      </c>
      <c r="H20" s="3">
        <f>Sheet1!H20/Sheet1!$N18</f>
        <v>0.69574888779041022</v>
      </c>
      <c r="I20" s="3">
        <f>Sheet1!I20/Sheet1!$N18</f>
        <v>0.89545229856648545</v>
      </c>
      <c r="J20" s="3">
        <f>Sheet1!J20/Sheet1!$N18</f>
        <v>0.98813643104300541</v>
      </c>
      <c r="K20" s="3">
        <f>Sheet1!K20/Sheet1!$N18</f>
        <v>0.95872466633712305</v>
      </c>
      <c r="L20" s="3">
        <f>Sheet1!L20/Sheet1!$N18</f>
        <v>1.0608007909045971</v>
      </c>
      <c r="M20" s="3">
        <f>Sheet1!M20/Sheet1!$N18</f>
        <v>1.0731586752347997</v>
      </c>
      <c r="N20" s="3">
        <f>Sheet1!N20/Sheet1!$N18</f>
        <v>2.5222441917943645</v>
      </c>
    </row>
    <row r="21" spans="1:14" x14ac:dyDescent="0.2">
      <c r="B21" s="1" t="s">
        <v>19</v>
      </c>
      <c r="C21" s="3">
        <f>Sheet1!C21/Sheet1!$N18</f>
        <v>0.97874443895205143</v>
      </c>
      <c r="D21" s="3">
        <f>Sheet1!D21/Sheet1!$N18</f>
        <v>0.90954028670291642</v>
      </c>
      <c r="E21" s="3">
        <f>Sheet1!E21/Sheet1!$N18</f>
        <v>0.96440929312901624</v>
      </c>
      <c r="F21" s="3">
        <f>Sheet1!F21/Sheet1!$N18</f>
        <v>1.1119624320316361</v>
      </c>
      <c r="G21" s="3">
        <f>Sheet1!G21/Sheet1!$N18</f>
        <v>1.0182896688086998</v>
      </c>
      <c r="H21" s="3">
        <f>Sheet1!H21/Sheet1!$N18</f>
        <v>1.0444883835887295</v>
      </c>
      <c r="I21" s="3">
        <f>Sheet1!I21/Sheet1!$N18</f>
        <v>0.98393475037073652</v>
      </c>
      <c r="J21" s="3">
        <f>Sheet1!J21/Sheet1!$N18</f>
        <v>1.0182896688086998</v>
      </c>
      <c r="K21" s="3">
        <f>Sheet1!K21/Sheet1!$N18</f>
        <v>1.106772120612951</v>
      </c>
      <c r="L21" s="3">
        <f>Sheet1!L21/Sheet1!$N18</f>
        <v>1.236529906080079</v>
      </c>
      <c r="M21" s="3">
        <f>Sheet1!M21/Sheet1!$N18</f>
        <v>1.0195254572417201</v>
      </c>
      <c r="N21" s="3">
        <f>Sheet1!N21/Sheet1!$N18</f>
        <v>2.0108749382105784</v>
      </c>
    </row>
    <row r="22" spans="1:14" x14ac:dyDescent="0.2">
      <c r="B22" s="1" t="s">
        <v>20</v>
      </c>
      <c r="C22" s="3">
        <f>Sheet1!C22/Sheet1!$N18</f>
        <v>1.282254078101829</v>
      </c>
      <c r="D22" s="3">
        <f>Sheet1!D22/Sheet1!$N18</f>
        <v>1.1089965397923875</v>
      </c>
      <c r="E22" s="3">
        <f>Sheet1!E22/Sheet1!$N18</f>
        <v>1.0978744438952051</v>
      </c>
      <c r="F22" s="3">
        <f>Sheet1!F22/Sheet1!$N18</f>
        <v>1.1243203163618389</v>
      </c>
      <c r="G22" s="3">
        <f>Sheet1!G22/Sheet1!$N18</f>
        <v>1.0074147305981216</v>
      </c>
      <c r="H22" s="3">
        <f>Sheet1!H22/Sheet1!$N18</f>
        <v>1.2244191794364805</v>
      </c>
      <c r="I22" s="3">
        <f>Sheet1!I22/Sheet1!$N18</f>
        <v>1.0558576371725161</v>
      </c>
      <c r="J22" s="14">
        <f>Sheet1!J22/Sheet1!$N18</f>
        <v>9.8961937716262955</v>
      </c>
      <c r="K22" s="3">
        <f>Sheet1!K22/Sheet1!$N18</f>
        <v>1.1542263964409294</v>
      </c>
      <c r="L22" s="3">
        <f>Sheet1!L22/Sheet1!$N18</f>
        <v>1.0111220958971825</v>
      </c>
      <c r="M22" s="3">
        <f>Sheet1!M22/Sheet1!$N18</f>
        <v>1.3470093919920909</v>
      </c>
      <c r="N22" s="3">
        <f>Sheet1!N22/Sheet1!$N18</f>
        <v>1.9713297083539296</v>
      </c>
    </row>
    <row r="24" spans="1:14" x14ac:dyDescent="0.2">
      <c r="A24" t="s">
        <v>24</v>
      </c>
    </row>
    <row r="25" spans="1:14" x14ac:dyDescent="0.2">
      <c r="B25" s="8" t="s">
        <v>0</v>
      </c>
      <c r="C25" s="8" t="s">
        <v>1</v>
      </c>
      <c r="D25" s="8" t="s">
        <v>2</v>
      </c>
      <c r="E25" s="8" t="s">
        <v>3</v>
      </c>
      <c r="F25" s="8" t="s">
        <v>4</v>
      </c>
      <c r="G25" s="8" t="s">
        <v>5</v>
      </c>
      <c r="H25" s="8" t="s">
        <v>6</v>
      </c>
      <c r="I25" s="8" t="s">
        <v>7</v>
      </c>
      <c r="J25" s="8" t="s">
        <v>8</v>
      </c>
      <c r="K25" s="8" t="s">
        <v>9</v>
      </c>
      <c r="L25" s="8" t="s">
        <v>10</v>
      </c>
      <c r="M25" s="8" t="s">
        <v>11</v>
      </c>
      <c r="N25" s="8" t="s">
        <v>12</v>
      </c>
    </row>
    <row r="26" spans="1:14" x14ac:dyDescent="0.2">
      <c r="B26" s="8" t="s">
        <v>13</v>
      </c>
      <c r="C26" s="9">
        <f>Sheet1!C26/Sheet1!$N29</f>
        <v>2.3685015290519877</v>
      </c>
      <c r="D26" s="10">
        <f>Sheet1!D26/Sheet1!$N29</f>
        <v>1.7379587155963303</v>
      </c>
      <c r="E26" s="10">
        <f>Sheet1!E26/Sheet1!$N29</f>
        <v>1.3520642201834863</v>
      </c>
      <c r="F26" s="10">
        <f>Sheet1!F26/Sheet1!$N29</f>
        <v>1.3738532110091743</v>
      </c>
      <c r="G26" s="10">
        <f>Sheet1!G26/Sheet1!$N29</f>
        <v>1.0460626911314985</v>
      </c>
      <c r="H26" s="10">
        <f>Sheet1!H26/Sheet1!$N29</f>
        <v>1.1093272171253823</v>
      </c>
      <c r="I26" s="10">
        <f>Sheet1!I26/Sheet1!$N29</f>
        <v>0.9678899082568807</v>
      </c>
      <c r="J26" s="10">
        <f>Sheet1!J26/Sheet1!$N29</f>
        <v>0.88589449541284404</v>
      </c>
      <c r="K26" s="10">
        <f>Sheet1!K26/Sheet1!$N29</f>
        <v>0.95470183486238536</v>
      </c>
      <c r="L26" s="10">
        <f>Sheet1!L26/Sheet1!$N29</f>
        <v>0.91131498470948014</v>
      </c>
      <c r="M26" s="10">
        <f>Sheet1!M26/Sheet1!$N29</f>
        <v>0.79740061162079512</v>
      </c>
      <c r="N26" s="10">
        <f>Sheet1!N26/Sheet1!$N29</f>
        <v>1.0126146788990826</v>
      </c>
    </row>
    <row r="27" spans="1:14" x14ac:dyDescent="0.2">
      <c r="B27" s="8" t="s">
        <v>14</v>
      </c>
      <c r="C27" s="10">
        <f>Sheet1!C27/Sheet1!$N29</f>
        <v>1.0808486238532111</v>
      </c>
      <c r="D27" s="10">
        <f>Sheet1!D27/Sheet1!$N29</f>
        <v>1.1146788990825689</v>
      </c>
      <c r="E27" s="10">
        <f>Sheet1!E27/Sheet1!$N29</f>
        <v>0.99770642201834869</v>
      </c>
      <c r="F27" s="10">
        <f>Sheet1!F27/Sheet1!$N29</f>
        <v>0.98222477064220193</v>
      </c>
      <c r="G27" s="10">
        <f>Sheet1!G27/Sheet1!$N29</f>
        <v>0.86983944954128445</v>
      </c>
      <c r="H27" s="10">
        <f>Sheet1!H27/Sheet1!$N29</f>
        <v>0.72400611620795108</v>
      </c>
      <c r="I27" s="10">
        <f>Sheet1!I27/Sheet1!$N29</f>
        <v>0.62672018348623859</v>
      </c>
      <c r="J27" s="10">
        <f>Sheet1!J27/Sheet1!$N29</f>
        <v>0.60091743119266061</v>
      </c>
      <c r="K27" s="10">
        <f>Sheet1!K27/Sheet1!$N29</f>
        <v>0.74063455657492361</v>
      </c>
      <c r="L27" s="10">
        <f>Sheet1!L27/Sheet1!$N29</f>
        <v>0.6955275229357798</v>
      </c>
      <c r="M27" s="10">
        <f>Sheet1!M27/Sheet1!$N29</f>
        <v>0.69743883792048933</v>
      </c>
      <c r="N27" s="10">
        <f>Sheet1!N27/Sheet1!$N29</f>
        <v>0.89659785932721714</v>
      </c>
    </row>
    <row r="28" spans="1:14" x14ac:dyDescent="0.2">
      <c r="B28" s="8" t="s">
        <v>15</v>
      </c>
      <c r="C28" s="10">
        <f>Sheet1!C28/Sheet1!$N29</f>
        <v>0.89525993883792043</v>
      </c>
      <c r="D28" s="10">
        <f>Sheet1!D28/Sheet1!$N29</f>
        <v>0.87710244648318036</v>
      </c>
      <c r="E28" s="10">
        <f>Sheet1!E28/Sheet1!$N29</f>
        <v>0.87576452599388377</v>
      </c>
      <c r="F28" s="10">
        <f>Sheet1!F28/Sheet1!$N29</f>
        <v>0.74560397553516822</v>
      </c>
      <c r="G28" s="10">
        <f>Sheet1!G28/Sheet1!$N29</f>
        <v>0.62958715596330284</v>
      </c>
      <c r="H28" s="10">
        <f>Sheet1!H28/Sheet1!$N29</f>
        <v>0.5932721712538227</v>
      </c>
      <c r="I28" s="10">
        <f>Sheet1!I28/Sheet1!$N29</f>
        <v>0.60493119266055051</v>
      </c>
      <c r="J28" s="10">
        <f>Sheet1!J28/Sheet1!$N29</f>
        <v>0.63149847094801226</v>
      </c>
      <c r="K28" s="10">
        <f>Sheet1!K28/Sheet1!$N29</f>
        <v>0.74579510703363916</v>
      </c>
      <c r="L28" s="10">
        <f>Sheet1!L28/Sheet1!$N29</f>
        <v>0.80791284403669728</v>
      </c>
      <c r="M28" s="10">
        <f>Sheet1!M28/Sheet1!$N29</f>
        <v>0.63398318042813451</v>
      </c>
      <c r="N28" s="10">
        <f>Sheet1!N28/Sheet1!$N29</f>
        <v>0.95298165137614677</v>
      </c>
    </row>
    <row r="29" spans="1:14" x14ac:dyDescent="0.2">
      <c r="B29" s="8" t="s">
        <v>16</v>
      </c>
      <c r="C29" s="10">
        <f>Sheet1!C29/Sheet1!$N29</f>
        <v>0.97801987767584109</v>
      </c>
      <c r="D29" s="10">
        <f>Sheet1!D29/Sheet1!$N29</f>
        <v>0.97821100917431203</v>
      </c>
      <c r="E29" s="10">
        <f>Sheet1!E29/Sheet1!$N29</f>
        <v>0.92201834862385323</v>
      </c>
      <c r="F29" s="10">
        <f>Sheet1!F29/Sheet1!$N29</f>
        <v>0.80561926605504586</v>
      </c>
      <c r="G29" s="10">
        <f>Sheet1!G29/Sheet1!$N29</f>
        <v>0.74961773700305812</v>
      </c>
      <c r="H29" s="10">
        <f>Sheet1!H29/Sheet1!$N29</f>
        <v>0.75477828746177367</v>
      </c>
      <c r="I29" s="10">
        <f>Sheet1!I29/Sheet1!$N29</f>
        <v>0.64468654434250761</v>
      </c>
      <c r="J29" s="10">
        <f>Sheet1!J29/Sheet1!$N29</f>
        <v>0.71387614678899081</v>
      </c>
      <c r="K29" s="10">
        <f>Sheet1!K29/Sheet1!$N29</f>
        <v>0.7392966360856269</v>
      </c>
      <c r="L29" s="10">
        <f>Sheet1!L29/Sheet1!$N29</f>
        <v>0.76968654434250761</v>
      </c>
      <c r="M29" s="10">
        <f>Sheet1!M29/Sheet1!$N29</f>
        <v>0.69839449541284404</v>
      </c>
      <c r="N29" s="11">
        <f>Sheet1!N29/Sheet1!$N29</f>
        <v>1</v>
      </c>
    </row>
    <row r="30" spans="1:14" x14ac:dyDescent="0.2">
      <c r="B30" s="8" t="s">
        <v>17</v>
      </c>
      <c r="C30" s="10">
        <f>Sheet1!C30/Sheet1!$N29</f>
        <v>1.0284785932721714</v>
      </c>
      <c r="D30" s="10">
        <f>Sheet1!D30/Sheet1!$N29</f>
        <v>0.90921253822629977</v>
      </c>
      <c r="E30" s="10">
        <f>Sheet1!E30/Sheet1!$N29</f>
        <v>0.90691896024464824</v>
      </c>
      <c r="F30" s="10">
        <f>Sheet1!F30/Sheet1!$N29</f>
        <v>0.6330275229357798</v>
      </c>
      <c r="G30" s="10">
        <f>Sheet1!G30/Sheet1!$N29</f>
        <v>0.66819571865443428</v>
      </c>
      <c r="H30" s="10">
        <f>Sheet1!H30/Sheet1!$N29</f>
        <v>0.86582568807339455</v>
      </c>
      <c r="I30" s="10">
        <f>Sheet1!I30/Sheet1!$N29</f>
        <v>0.64698012232415902</v>
      </c>
      <c r="J30" s="10">
        <f>Sheet1!J30/Sheet1!$N29</f>
        <v>0.80504587155963303</v>
      </c>
      <c r="K30" s="10">
        <f>Sheet1!K30/Sheet1!$N29</f>
        <v>0.74713302752293587</v>
      </c>
      <c r="L30" s="10">
        <f>Sheet1!L30/Sheet1!$N29</f>
        <v>0.75783639143730885</v>
      </c>
      <c r="M30" s="10">
        <f>Sheet1!M30/Sheet1!$N29</f>
        <v>0.79491590214067276</v>
      </c>
      <c r="N30" s="10">
        <f>Sheet1!N30/Sheet1!$N29</f>
        <v>2.0875382262996944</v>
      </c>
    </row>
    <row r="31" spans="1:14" x14ac:dyDescent="0.2">
      <c r="B31" s="8" t="s">
        <v>18</v>
      </c>
      <c r="C31" s="10">
        <f>Sheet1!C31/Sheet1!$N29</f>
        <v>1.1974388379204892</v>
      </c>
      <c r="D31" s="10">
        <f>Sheet1!D31/Sheet1!$N29</f>
        <v>0.98814984709480125</v>
      </c>
      <c r="E31" s="10">
        <f>Sheet1!E31/Sheet1!$N29</f>
        <v>1.0474006116207952</v>
      </c>
      <c r="F31" s="10">
        <f>Sheet1!F31/Sheet1!$N29</f>
        <v>0.75152905198776754</v>
      </c>
      <c r="G31" s="10">
        <f>Sheet1!G31/Sheet1!$N29</f>
        <v>0.68157492354740057</v>
      </c>
      <c r="H31" s="10">
        <f>Sheet1!H31/Sheet1!$N29</f>
        <v>0.79032874617737003</v>
      </c>
      <c r="I31" s="10">
        <f>Sheet1!I31/Sheet1!$N29</f>
        <v>0.79434250764526004</v>
      </c>
      <c r="J31" s="10">
        <f>Sheet1!J31/Sheet1!$N29</f>
        <v>0.96177370030581033</v>
      </c>
      <c r="K31" s="10">
        <f>Sheet1!K31/Sheet1!$N29</f>
        <v>0.67507645259938842</v>
      </c>
      <c r="L31" s="10">
        <f>Sheet1!L31/Sheet1!$N29</f>
        <v>0.73738532110091737</v>
      </c>
      <c r="M31" s="10">
        <f>Sheet1!M31/Sheet1!$N29</f>
        <v>0.93501529051987775</v>
      </c>
      <c r="N31" s="10">
        <f>Sheet1!N31/Sheet1!$N29</f>
        <v>2.9353975535168195</v>
      </c>
    </row>
    <row r="32" spans="1:14" x14ac:dyDescent="0.2">
      <c r="B32" s="8" t="s">
        <v>19</v>
      </c>
      <c r="C32" s="10">
        <f>Sheet1!C32/Sheet1!$N29</f>
        <v>1.1926605504587156</v>
      </c>
      <c r="D32" s="10">
        <f>Sheet1!D32/Sheet1!$N29</f>
        <v>0.88512996941896027</v>
      </c>
      <c r="E32" s="10">
        <f>Sheet1!E32/Sheet1!$N29</f>
        <v>0.95374617737003053</v>
      </c>
      <c r="F32" s="10">
        <f>Sheet1!F32/Sheet1!$N29</f>
        <v>0.8191896024464832</v>
      </c>
      <c r="G32" s="10">
        <f>Sheet1!G32/Sheet1!$N29</f>
        <v>0.85626911314984711</v>
      </c>
      <c r="H32" s="10">
        <f>Sheet1!H32/Sheet1!$N29</f>
        <v>0.82243883792048933</v>
      </c>
      <c r="I32" s="10">
        <f>Sheet1!I32/Sheet1!$N29</f>
        <v>0.77274464831804279</v>
      </c>
      <c r="J32" s="10">
        <f>Sheet1!J32/Sheet1!$N29</f>
        <v>0.6941896024464832</v>
      </c>
      <c r="K32" s="10">
        <f>Sheet1!K32/Sheet1!$N29</f>
        <v>0.74522171253822633</v>
      </c>
      <c r="L32" s="10">
        <f>Sheet1!L32/Sheet1!$N29</f>
        <v>0.68253058103975528</v>
      </c>
      <c r="M32" s="10">
        <f>Sheet1!M32/Sheet1!$N29</f>
        <v>0.92297400611620795</v>
      </c>
      <c r="N32" s="10">
        <f>Sheet1!N32/Sheet1!$N29</f>
        <v>2.1389525993883791</v>
      </c>
    </row>
    <row r="33" spans="1:14" x14ac:dyDescent="0.2">
      <c r="B33" s="8" t="s">
        <v>20</v>
      </c>
      <c r="C33" s="10">
        <f>Sheet1!C33/Sheet1!$N29</f>
        <v>1.0038226299694191</v>
      </c>
      <c r="D33" s="10">
        <f>Sheet1!D33/Sheet1!$N29</f>
        <v>1.0372706422018347</v>
      </c>
      <c r="E33" s="10">
        <f>Sheet1!E33/Sheet1!$N29</f>
        <v>1.1314984709480123</v>
      </c>
      <c r="F33" s="10">
        <f>Sheet1!F33/Sheet1!$N29</f>
        <v>0.94476299694189603</v>
      </c>
      <c r="G33" s="10">
        <f>Sheet1!G33/Sheet1!$N29</f>
        <v>0.88952599388379205</v>
      </c>
      <c r="H33" s="10">
        <f>Sheet1!H33/Sheet1!$N29</f>
        <v>0.86295871559633031</v>
      </c>
      <c r="I33" s="10">
        <f>Sheet1!I33/Sheet1!$N29</f>
        <v>0.797782874617737</v>
      </c>
      <c r="J33" s="15">
        <f>Sheet1!J33/Sheet1!$N29</f>
        <v>7.9491590214067278</v>
      </c>
      <c r="K33" s="10">
        <f>Sheet1!K33/Sheet1!$N29</f>
        <v>0.7803899082568807</v>
      </c>
      <c r="L33" s="10">
        <f>Sheet1!L33/Sheet1!$N29</f>
        <v>0.78325688073394495</v>
      </c>
      <c r="M33" s="10">
        <f>Sheet1!M33/Sheet1!$N29</f>
        <v>0.85970948012232407</v>
      </c>
      <c r="N33" s="10">
        <f>Sheet1!N33/Sheet1!$N29</f>
        <v>2.1441131498470947</v>
      </c>
    </row>
    <row r="35" spans="1:14" x14ac:dyDescent="0.2">
      <c r="A35" t="s">
        <v>26</v>
      </c>
    </row>
    <row r="36" spans="1:14" x14ac:dyDescent="0.2">
      <c r="B36" s="8" t="s">
        <v>0</v>
      </c>
      <c r="C36" s="8" t="s">
        <v>1</v>
      </c>
      <c r="D36" s="8" t="s">
        <v>2</v>
      </c>
      <c r="E36" s="8" t="s">
        <v>3</v>
      </c>
      <c r="F36" s="8" t="s">
        <v>4</v>
      </c>
      <c r="G36" s="8" t="s">
        <v>5</v>
      </c>
      <c r="H36" s="8" t="s">
        <v>6</v>
      </c>
      <c r="I36" s="8" t="s">
        <v>7</v>
      </c>
      <c r="J36" s="8" t="s">
        <v>8</v>
      </c>
      <c r="K36" s="8" t="s">
        <v>9</v>
      </c>
      <c r="L36" s="8" t="s">
        <v>10</v>
      </c>
      <c r="M36" s="8" t="s">
        <v>11</v>
      </c>
      <c r="N36" s="8" t="s">
        <v>12</v>
      </c>
    </row>
    <row r="37" spans="1:14" x14ac:dyDescent="0.2">
      <c r="B37" s="8" t="s">
        <v>13</v>
      </c>
      <c r="C37" s="9">
        <f>Sheet1!C37/Sheet1!$N40</f>
        <v>3.0259462032849327</v>
      </c>
      <c r="D37" s="10">
        <f>Sheet1!D37/Sheet1!$N40</f>
        <v>1.4877410140442753</v>
      </c>
      <c r="E37" s="10">
        <f>Sheet1!E37/Sheet1!$N40</f>
        <v>1.2675553439657226</v>
      </c>
      <c r="F37" s="10">
        <f>Sheet1!F37/Sheet1!$N40</f>
        <v>1.0478457510116639</v>
      </c>
      <c r="G37" s="10">
        <f>Sheet1!G37/Sheet1!$N40</f>
        <v>1.0928350392763628</v>
      </c>
      <c r="H37" s="10">
        <f>Sheet1!H37/Sheet1!$N40</f>
        <v>1.0268983575339206</v>
      </c>
      <c r="I37" s="10">
        <f>Sheet1!I37/Sheet1!$N40</f>
        <v>1.019995239228755</v>
      </c>
      <c r="J37" s="10">
        <f>Sheet1!J37/Sheet1!$N40</f>
        <v>1.1435372530349917</v>
      </c>
      <c r="K37" s="10">
        <f>Sheet1!K37/Sheet1!$N40</f>
        <v>1.0771244941680553</v>
      </c>
      <c r="L37" s="10">
        <f>Sheet1!L37/Sheet1!$N40</f>
        <v>1.1335396334206143</v>
      </c>
      <c r="M37" s="10">
        <f>Sheet1!M37/Sheet1!$N40</f>
        <v>0.886693644370388</v>
      </c>
      <c r="N37" s="10">
        <f>Sheet1!N37/Sheet1!$N40</f>
        <v>1.1911449654844084</v>
      </c>
    </row>
    <row r="38" spans="1:14" x14ac:dyDescent="0.2">
      <c r="B38" s="8" t="s">
        <v>14</v>
      </c>
      <c r="C38" s="10">
        <f>Sheet1!C38/Sheet1!$N40</f>
        <v>1.1847179243037371</v>
      </c>
      <c r="D38" s="10">
        <f>Sheet1!D38/Sheet1!$N40</f>
        <v>1.1478219471554394</v>
      </c>
      <c r="E38" s="10">
        <f>Sheet1!E38/Sheet1!$N40</f>
        <v>0.85574863127826706</v>
      </c>
      <c r="F38" s="10">
        <f>Sheet1!F38/Sheet1!$N40</f>
        <v>0.76886455605808146</v>
      </c>
      <c r="G38" s="10">
        <f>Sheet1!G38/Sheet1!$N40</f>
        <v>0.57771959057367295</v>
      </c>
      <c r="H38" s="10">
        <f>Sheet1!H38/Sheet1!$N40</f>
        <v>0.66388955010711737</v>
      </c>
      <c r="I38" s="10">
        <f>Sheet1!I38/Sheet1!$N40</f>
        <v>0.74529873839562011</v>
      </c>
      <c r="J38" s="10">
        <f>Sheet1!J38/Sheet1!$N40</f>
        <v>0.69293025470126168</v>
      </c>
      <c r="K38" s="10">
        <f>Sheet1!K38/Sheet1!$N40</f>
        <v>0.59676267555343965</v>
      </c>
      <c r="L38" s="10">
        <f>Sheet1!L38/Sheet1!$N40</f>
        <v>0.6707926684122828</v>
      </c>
      <c r="M38" s="10">
        <f>Sheet1!M38/Sheet1!$N40</f>
        <v>0.66150916448464647</v>
      </c>
      <c r="N38" s="10">
        <f>Sheet1!N38/Sheet1!$N40</f>
        <v>0.89954772673173067</v>
      </c>
    </row>
    <row r="39" spans="1:14" x14ac:dyDescent="0.2">
      <c r="B39" s="8" t="s">
        <v>15</v>
      </c>
      <c r="C39" s="10">
        <f>Sheet1!C39/Sheet1!$N40</f>
        <v>1.2611283027850513</v>
      </c>
      <c r="D39" s="10">
        <f>Sheet1!D39/Sheet1!$N40</f>
        <v>0.84265651035467748</v>
      </c>
      <c r="E39" s="10">
        <f>Sheet1!E39/Sheet1!$N40</f>
        <v>0.90764103784813144</v>
      </c>
      <c r="F39" s="10">
        <f>Sheet1!F39/Sheet1!$N40</f>
        <v>0.65151154487026908</v>
      </c>
      <c r="G39" s="10">
        <f>Sheet1!G39/Sheet1!$N40</f>
        <v>0.61556772197095933</v>
      </c>
      <c r="H39" s="10">
        <f>Sheet1!H39/Sheet1!$N40</f>
        <v>0.74006189002618428</v>
      </c>
      <c r="I39" s="10">
        <f>Sheet1!I39/Sheet1!$N40</f>
        <v>0.53868126636515123</v>
      </c>
      <c r="J39" s="10">
        <f>Sheet1!J39/Sheet1!$N40</f>
        <v>0.61556772197095933</v>
      </c>
      <c r="K39" s="10">
        <f>Sheet1!K39/Sheet1!$N40</f>
        <v>0.74982147107831476</v>
      </c>
      <c r="L39" s="10">
        <f>Sheet1!L39/Sheet1!$N40</f>
        <v>0.67007855272554151</v>
      </c>
      <c r="M39" s="10">
        <f>Sheet1!M39/Sheet1!$N40</f>
        <v>0.76719828612235186</v>
      </c>
      <c r="N39" s="10">
        <f>Sheet1!N39/Sheet1!$N40</f>
        <v>0.97952868364675083</v>
      </c>
    </row>
    <row r="40" spans="1:14" x14ac:dyDescent="0.2">
      <c r="B40" s="8" t="s">
        <v>16</v>
      </c>
      <c r="C40" s="10">
        <f>Sheet1!C40/Sheet1!$N40</f>
        <v>1.2670792668412283</v>
      </c>
      <c r="D40" s="10">
        <f>Sheet1!D40/Sheet1!$N40</f>
        <v>0.9578671744822661</v>
      </c>
      <c r="E40" s="10">
        <f>Sheet1!E40/Sheet1!$N40</f>
        <v>0.606284218043323</v>
      </c>
      <c r="F40" s="10">
        <f>Sheet1!F40/Sheet1!$N40</f>
        <v>0.84765532016186629</v>
      </c>
      <c r="G40" s="10">
        <f>Sheet1!G40/Sheet1!$N40</f>
        <v>0.68935967626755545</v>
      </c>
      <c r="H40" s="10">
        <f>Sheet1!H40/Sheet1!$N40</f>
        <v>0.58676505593906214</v>
      </c>
      <c r="I40" s="10">
        <f>Sheet1!I40/Sheet1!$N40</f>
        <v>0.52749345393953817</v>
      </c>
      <c r="J40" s="10">
        <f>Sheet1!J40/Sheet1!$N40</f>
        <v>0.69745298738395622</v>
      </c>
      <c r="K40" s="10">
        <f>Sheet1!K40/Sheet1!$N40</f>
        <v>0.61651987621994764</v>
      </c>
      <c r="L40" s="10">
        <f>Sheet1!L40/Sheet1!$N40</f>
        <v>0.72054272792192342</v>
      </c>
      <c r="M40" s="10">
        <f>Sheet1!M40/Sheet1!$N40</f>
        <v>0.74577481552011438</v>
      </c>
      <c r="N40" s="11">
        <f>Sheet1!N40/Sheet1!$N40</f>
        <v>1</v>
      </c>
    </row>
    <row r="41" spans="1:14" x14ac:dyDescent="0.2">
      <c r="B41" s="8" t="s">
        <v>17</v>
      </c>
      <c r="C41" s="10">
        <f>Sheet1!C41/Sheet1!$N40</f>
        <v>1.2023327779100215</v>
      </c>
      <c r="D41" s="10">
        <f>Sheet1!D41/Sheet1!$N40</f>
        <v>0.98381337776719835</v>
      </c>
      <c r="E41" s="10">
        <f>Sheet1!E41/Sheet1!$N40</f>
        <v>0.70483218281361582</v>
      </c>
      <c r="F41" s="10">
        <f>Sheet1!F41/Sheet1!$N40</f>
        <v>0.63603903832420849</v>
      </c>
      <c r="G41" s="10">
        <f>Sheet1!G41/Sheet1!$N40</f>
        <v>0.84670316591287798</v>
      </c>
      <c r="H41" s="10">
        <f>Sheet1!H41/Sheet1!$N40</f>
        <v>0.61651987621994764</v>
      </c>
      <c r="I41" s="10">
        <f>Sheet1!I41/Sheet1!$N40</f>
        <v>0.7072125684360866</v>
      </c>
      <c r="J41" s="10">
        <f>Sheet1!J41/Sheet1!$N40</f>
        <v>0.65912877886217569</v>
      </c>
      <c r="K41" s="10">
        <f>Sheet1!K41/Sheet1!$N40</f>
        <v>0.71768626517495837</v>
      </c>
      <c r="L41" s="10">
        <f>Sheet1!L41/Sheet1!$N40</f>
        <v>0.7981432992144728</v>
      </c>
      <c r="M41" s="10">
        <f>Sheet1!M41/Sheet1!$N40</f>
        <v>0.77410140442751729</v>
      </c>
      <c r="N41" s="10">
        <f>Sheet1!N41/Sheet1!$N40</f>
        <v>2.0430849797667223</v>
      </c>
    </row>
    <row r="42" spans="1:14" x14ac:dyDescent="0.2">
      <c r="B42" s="8" t="s">
        <v>18</v>
      </c>
      <c r="C42" s="10">
        <f>Sheet1!C42/Sheet1!$N40</f>
        <v>1.2844560818852655</v>
      </c>
      <c r="D42" s="10">
        <f>Sheet1!D42/Sheet1!$N40</f>
        <v>0.80457034039514408</v>
      </c>
      <c r="E42" s="10">
        <f>Sheet1!E42/Sheet1!$N40</f>
        <v>0.71197333968102827</v>
      </c>
      <c r="F42" s="10">
        <f>Sheet1!F42/Sheet1!$N40</f>
        <v>0.75743870507022137</v>
      </c>
      <c r="G42" s="10">
        <f>Sheet1!G42/Sheet1!$N40</f>
        <v>0.83146869792906453</v>
      </c>
      <c r="H42" s="10">
        <f>Sheet1!H42/Sheet1!$N40</f>
        <v>0.73125446322304211</v>
      </c>
      <c r="I42" s="10">
        <f>Sheet1!I42/Sheet1!$N40</f>
        <v>0.77386336586527027</v>
      </c>
      <c r="J42" s="10">
        <f>Sheet1!J42/Sheet1!$N40</f>
        <v>0.88074268031421099</v>
      </c>
      <c r="K42" s="10">
        <f>Sheet1!K42/Sheet1!$N40</f>
        <v>0.87003094501309219</v>
      </c>
      <c r="L42" s="10">
        <f>Sheet1!L42/Sheet1!$N40</f>
        <v>0.82527969531064038</v>
      </c>
      <c r="M42" s="10">
        <f>Sheet1!M42/Sheet1!$N40</f>
        <v>0.90883123065936677</v>
      </c>
      <c r="N42" s="10">
        <f>Sheet1!N42/Sheet1!$N40</f>
        <v>1.935015472506546</v>
      </c>
    </row>
    <row r="43" spans="1:14" x14ac:dyDescent="0.2">
      <c r="B43" s="8" t="s">
        <v>19</v>
      </c>
      <c r="C43" s="10">
        <f>Sheet1!C43/Sheet1!$N40</f>
        <v>1.3442037610092836</v>
      </c>
      <c r="D43" s="10">
        <f>Sheet1!D43/Sheet1!$N40</f>
        <v>0.87050702213758635</v>
      </c>
      <c r="E43" s="10">
        <f>Sheet1!E43/Sheet1!$N40</f>
        <v>0.84503689597714826</v>
      </c>
      <c r="F43" s="10">
        <f>Sheet1!F43/Sheet1!$N40</f>
        <v>1.0590335634372769</v>
      </c>
      <c r="G43" s="10">
        <f>Sheet1!G43/Sheet1!$N40</f>
        <v>0.6915020233277791</v>
      </c>
      <c r="H43" s="10">
        <f>Sheet1!H43/Sheet1!$N40</f>
        <v>0.73482504165674833</v>
      </c>
      <c r="I43" s="10">
        <f>Sheet1!I43/Sheet1!$N40</f>
        <v>0.75339204951202099</v>
      </c>
      <c r="J43" s="10">
        <f>Sheet1!J43/Sheet1!$N40</f>
        <v>0.71601999523922888</v>
      </c>
      <c r="K43" s="10">
        <f>Sheet1!K43/Sheet1!$N40</f>
        <v>0.82885027374434661</v>
      </c>
      <c r="L43" s="10">
        <f>Sheet1!L43/Sheet1!$N40</f>
        <v>0.88050464175196386</v>
      </c>
      <c r="M43" s="10">
        <f>Sheet1!M43/Sheet1!$N40</f>
        <v>1.0656986431801951</v>
      </c>
      <c r="N43" s="10">
        <f>Sheet1!N43/Sheet1!$N40</f>
        <v>1.3313496786479411</v>
      </c>
    </row>
    <row r="44" spans="1:14" x14ac:dyDescent="0.2">
      <c r="B44" s="8" t="s">
        <v>20</v>
      </c>
      <c r="C44" s="10">
        <f>Sheet1!C44/Sheet1!$N40</f>
        <v>1.5236848369435849</v>
      </c>
      <c r="D44" s="10">
        <f>Sheet1!D44/Sheet1!$N40</f>
        <v>0.9221613901452036</v>
      </c>
      <c r="E44" s="10">
        <f>Sheet1!E44/Sheet1!$N40</f>
        <v>0.97548202808855045</v>
      </c>
      <c r="F44" s="10">
        <f>Sheet1!F44/Sheet1!$N40</f>
        <v>0.8312306593668175</v>
      </c>
      <c r="G44" s="10">
        <f>Sheet1!G44/Sheet1!$N40</f>
        <v>0.75386812663651515</v>
      </c>
      <c r="H44" s="10">
        <f>Sheet1!H44/Sheet1!$N40</f>
        <v>0.92858843132587487</v>
      </c>
      <c r="I44" s="10">
        <f>Sheet1!I44/Sheet1!$N40</f>
        <v>0.84908355153534887</v>
      </c>
      <c r="J44" s="15">
        <f>Sheet1!J44/Sheet1!$N40</f>
        <v>9.5953344441799562</v>
      </c>
      <c r="K44" s="10">
        <f>Sheet1!K44/Sheet1!$N40</f>
        <v>0.75648655082123317</v>
      </c>
      <c r="L44" s="10">
        <f>Sheet1!L44/Sheet1!$N40</f>
        <v>0.68412282789811951</v>
      </c>
      <c r="M44" s="10">
        <f>Sheet1!M44/Sheet1!$N40</f>
        <v>0.86336586527017389</v>
      </c>
      <c r="N44" s="10">
        <f>Sheet1!N44/Sheet1!$N40</f>
        <v>2.1878124256129494</v>
      </c>
    </row>
    <row r="49" spans="1:14" x14ac:dyDescent="0.2">
      <c r="A49" t="s">
        <v>28</v>
      </c>
    </row>
    <row r="50" spans="1:14" x14ac:dyDescent="0.2">
      <c r="B50" s="8" t="s">
        <v>0</v>
      </c>
      <c r="C50" s="8" t="s">
        <v>1</v>
      </c>
      <c r="D50" s="8" t="s">
        <v>2</v>
      </c>
      <c r="E50" s="8" t="s">
        <v>3</v>
      </c>
      <c r="F50" s="8" t="s">
        <v>4</v>
      </c>
      <c r="G50" s="8" t="s">
        <v>5</v>
      </c>
      <c r="H50" s="8" t="s">
        <v>6</v>
      </c>
      <c r="I50" s="8" t="s">
        <v>7</v>
      </c>
      <c r="J50" s="8" t="s">
        <v>8</v>
      </c>
      <c r="K50" s="8" t="s">
        <v>9</v>
      </c>
      <c r="L50" s="8" t="s">
        <v>10</v>
      </c>
      <c r="M50" s="8" t="s">
        <v>11</v>
      </c>
      <c r="N50" s="8" t="s">
        <v>12</v>
      </c>
    </row>
    <row r="51" spans="1:14" x14ac:dyDescent="0.2">
      <c r="B51" s="8" t="s">
        <v>13</v>
      </c>
      <c r="C51" s="16">
        <f>AVERAGE(C26,C37,C15,C4)</f>
        <v>2.4929422461847279</v>
      </c>
      <c r="D51" s="16">
        <f t="shared" ref="D51:N51" si="0">AVERAGE(D26,D37,D15,D4)</f>
        <v>1.5123282174938024</v>
      </c>
      <c r="E51" s="16">
        <f t="shared" si="0"/>
        <v>1.3131475319975179</v>
      </c>
      <c r="F51" s="16">
        <f t="shared" si="0"/>
        <v>1.2531206818781935</v>
      </c>
      <c r="G51" s="16">
        <f t="shared" si="0"/>
        <v>1.0677537580583563</v>
      </c>
      <c r="H51" s="16">
        <f t="shared" si="0"/>
        <v>1.03800042794991</v>
      </c>
      <c r="I51" s="16">
        <f t="shared" si="0"/>
        <v>1.0499248099116558</v>
      </c>
      <c r="J51" s="16">
        <f t="shared" si="0"/>
        <v>1.0582594199947164</v>
      </c>
      <c r="K51" s="16">
        <f t="shared" si="0"/>
        <v>1.0947837089202899</v>
      </c>
      <c r="L51" s="16">
        <f t="shared" si="0"/>
        <v>1.0531301453767368</v>
      </c>
      <c r="M51" s="16">
        <f t="shared" si="0"/>
        <v>0.99484388728421358</v>
      </c>
      <c r="N51" s="16">
        <f t="shared" si="0"/>
        <v>1.1896240899172876</v>
      </c>
    </row>
    <row r="52" spans="1:14" x14ac:dyDescent="0.2">
      <c r="B52" s="8" t="s">
        <v>14</v>
      </c>
      <c r="C52" s="16">
        <f t="shared" ref="C52:N52" si="1">AVERAGE(C27,C38,C16,C5)</f>
        <v>1.0982074413363321</v>
      </c>
      <c r="D52" s="16">
        <f t="shared" si="1"/>
        <v>1.046685639328313</v>
      </c>
      <c r="E52" s="16">
        <f t="shared" si="1"/>
        <v>0.94527222572998082</v>
      </c>
      <c r="F52" s="16">
        <f t="shared" si="1"/>
        <v>0.86814069981791597</v>
      </c>
      <c r="G52" s="16">
        <f t="shared" si="1"/>
        <v>0.74817701618738308</v>
      </c>
      <c r="H52" s="16">
        <f t="shared" si="1"/>
        <v>0.75451873648223389</v>
      </c>
      <c r="I52" s="16">
        <f t="shared" si="1"/>
        <v>0.69936088981109268</v>
      </c>
      <c r="J52" s="16">
        <f t="shared" si="1"/>
        <v>0.70674151162529908</v>
      </c>
      <c r="K52" s="16">
        <f t="shared" si="1"/>
        <v>0.76028757491224574</v>
      </c>
      <c r="L52" s="16">
        <f t="shared" si="1"/>
        <v>0.7824878741772634</v>
      </c>
      <c r="M52" s="16">
        <f t="shared" si="1"/>
        <v>1.1136773069283668</v>
      </c>
      <c r="N52" s="16">
        <f t="shared" si="1"/>
        <v>0.94283345593115508</v>
      </c>
    </row>
    <row r="53" spans="1:14" x14ac:dyDescent="0.2">
      <c r="B53" s="8" t="s">
        <v>15</v>
      </c>
      <c r="C53" s="16">
        <f t="shared" ref="C53:N53" si="2">AVERAGE(C28,C39,C17,C6)</f>
        <v>1.1072190208889356</v>
      </c>
      <c r="D53" s="16">
        <f t="shared" si="2"/>
        <v>0.87720714644703446</v>
      </c>
      <c r="E53" s="16">
        <f t="shared" si="2"/>
        <v>0.85485361976977581</v>
      </c>
      <c r="F53" s="16">
        <f t="shared" si="2"/>
        <v>0.73707560396987626</v>
      </c>
      <c r="G53" s="16">
        <f t="shared" si="2"/>
        <v>0.73647202621535146</v>
      </c>
      <c r="H53" s="16">
        <f t="shared" si="2"/>
        <v>0.70848066262426301</v>
      </c>
      <c r="I53" s="16">
        <f t="shared" si="2"/>
        <v>0.6590739962589558</v>
      </c>
      <c r="J53" s="16">
        <f t="shared" si="2"/>
        <v>0.69608354667727945</v>
      </c>
      <c r="K53" s="16">
        <f t="shared" si="2"/>
        <v>0.86229548380764942</v>
      </c>
      <c r="L53" s="16">
        <f t="shared" si="2"/>
        <v>0.77946068230467502</v>
      </c>
      <c r="M53" s="16">
        <f t="shared" si="2"/>
        <v>0.76764391953185573</v>
      </c>
      <c r="N53" s="16">
        <f t="shared" si="2"/>
        <v>1.0294148643540586</v>
      </c>
    </row>
    <row r="54" spans="1:14" x14ac:dyDescent="0.2">
      <c r="B54" s="8" t="s">
        <v>16</v>
      </c>
      <c r="C54" s="16">
        <f t="shared" ref="C54:N54" si="3">AVERAGE(C29,C40,C18,C7)</f>
        <v>1.0128341424891945</v>
      </c>
      <c r="D54" s="16">
        <f t="shared" si="3"/>
        <v>0.91196611043135245</v>
      </c>
      <c r="E54" s="16">
        <f t="shared" si="3"/>
        <v>0.76916915869487701</v>
      </c>
      <c r="F54" s="16">
        <f t="shared" si="3"/>
        <v>0.83838638523021047</v>
      </c>
      <c r="G54" s="16">
        <f t="shared" si="3"/>
        <v>0.7421363527405147</v>
      </c>
      <c r="H54" s="16">
        <f t="shared" si="3"/>
        <v>0.6836953741274262</v>
      </c>
      <c r="I54" s="16">
        <f t="shared" si="3"/>
        <v>0.68780341458596772</v>
      </c>
      <c r="J54" s="16">
        <f t="shared" si="3"/>
        <v>0.79989552884631288</v>
      </c>
      <c r="K54" s="16">
        <f t="shared" si="3"/>
        <v>0.73847457156083096</v>
      </c>
      <c r="L54" s="16">
        <f t="shared" si="3"/>
        <v>0.86688397200180756</v>
      </c>
      <c r="M54" s="16">
        <f t="shared" si="3"/>
        <v>0.82284594250831788</v>
      </c>
      <c r="N54" s="16">
        <f t="shared" si="3"/>
        <v>1</v>
      </c>
    </row>
    <row r="55" spans="1:14" x14ac:dyDescent="0.2">
      <c r="B55" s="8" t="s">
        <v>17</v>
      </c>
      <c r="C55" s="16">
        <f t="shared" ref="C55:N55" si="4">AVERAGE(C30,C41,C19,C8)</f>
        <v>1.0743272182369901</v>
      </c>
      <c r="D55" s="16">
        <f t="shared" si="4"/>
        <v>0.96691366644437515</v>
      </c>
      <c r="E55" s="16">
        <f t="shared" si="4"/>
        <v>0.83007383509581001</v>
      </c>
      <c r="F55" s="16">
        <f t="shared" si="4"/>
        <v>0.70914045900670786</v>
      </c>
      <c r="G55" s="16">
        <f t="shared" si="4"/>
        <v>0.78694745959468515</v>
      </c>
      <c r="H55" s="16">
        <f t="shared" si="4"/>
        <v>0.75370561838445449</v>
      </c>
      <c r="I55" s="16">
        <f t="shared" si="4"/>
        <v>0.78086413254126175</v>
      </c>
      <c r="J55" s="16">
        <f t="shared" si="4"/>
        <v>0.88761666808003326</v>
      </c>
      <c r="K55" s="16">
        <f t="shared" si="4"/>
        <v>0.80430236795409682</v>
      </c>
      <c r="L55" s="16">
        <f t="shared" si="4"/>
        <v>0.86698089391842958</v>
      </c>
      <c r="M55" s="16">
        <f t="shared" si="4"/>
        <v>0.82680333016797081</v>
      </c>
      <c r="N55" s="16">
        <f t="shared" si="4"/>
        <v>2.3561623915886769</v>
      </c>
    </row>
    <row r="56" spans="1:14" x14ac:dyDescent="0.2">
      <c r="B56" s="8" t="s">
        <v>18</v>
      </c>
      <c r="C56" s="16">
        <f t="shared" ref="C56:N56" si="5">AVERAGE(C31,C42,C20,C9)</f>
        <v>1.1386090666394062</v>
      </c>
      <c r="D56" s="16">
        <f t="shared" si="5"/>
        <v>0.93835677344385204</v>
      </c>
      <c r="E56" s="16">
        <f t="shared" si="5"/>
        <v>0.87086000561669075</v>
      </c>
      <c r="F56" s="16">
        <f t="shared" si="5"/>
        <v>0.78624192776879087</v>
      </c>
      <c r="G56" s="16">
        <f t="shared" si="5"/>
        <v>0.81682246483138155</v>
      </c>
      <c r="H56" s="16">
        <f t="shared" si="5"/>
        <v>0.75269413032224319</v>
      </c>
      <c r="I56" s="16">
        <f t="shared" si="5"/>
        <v>0.85868143552978315</v>
      </c>
      <c r="J56" s="16">
        <f t="shared" si="5"/>
        <v>0.9713053929908344</v>
      </c>
      <c r="K56" s="16">
        <f t="shared" si="5"/>
        <v>0.87655314508463578</v>
      </c>
      <c r="L56" s="16">
        <f t="shared" si="5"/>
        <v>0.88219862542361849</v>
      </c>
      <c r="M56" s="16">
        <f t="shared" si="5"/>
        <v>1.0226499440403358</v>
      </c>
      <c r="N56" s="16">
        <f t="shared" si="5"/>
        <v>2.3133721418468514</v>
      </c>
    </row>
    <row r="57" spans="1:14" x14ac:dyDescent="0.2">
      <c r="B57" s="8" t="s">
        <v>19</v>
      </c>
      <c r="C57" s="16">
        <f t="shared" ref="C57:N57" si="6">AVERAGE(C32,C43,C21,C10)</f>
        <v>1.1017093657775086</v>
      </c>
      <c r="D57" s="16">
        <f t="shared" si="6"/>
        <v>0.90636024155717476</v>
      </c>
      <c r="E57" s="16">
        <f t="shared" si="6"/>
        <v>0.93969939174723049</v>
      </c>
      <c r="F57" s="16">
        <f t="shared" si="6"/>
        <v>1.0098609938754799</v>
      </c>
      <c r="G57" s="16">
        <f t="shared" si="6"/>
        <v>0.84788766057812781</v>
      </c>
      <c r="H57" s="16">
        <f t="shared" si="6"/>
        <v>0.90222345308319651</v>
      </c>
      <c r="I57" s="16">
        <f t="shared" si="6"/>
        <v>0.93341421802895841</v>
      </c>
      <c r="J57" s="16">
        <f t="shared" si="6"/>
        <v>0.87919037238262154</v>
      </c>
      <c r="K57" s="16">
        <f t="shared" si="6"/>
        <v>0.95880285972150037</v>
      </c>
      <c r="L57" s="16">
        <f t="shared" si="6"/>
        <v>0.95968802274166309</v>
      </c>
      <c r="M57" s="16">
        <f t="shared" si="6"/>
        <v>1.0411449304067337</v>
      </c>
      <c r="N57" s="16">
        <f t="shared" si="6"/>
        <v>1.9589227603884045</v>
      </c>
    </row>
    <row r="58" spans="1:14" x14ac:dyDescent="0.2">
      <c r="B58" s="8" t="s">
        <v>20</v>
      </c>
      <c r="C58" s="16">
        <f t="shared" ref="C58:N58" si="7">AVERAGE(C33,C44,C22,C11)</f>
        <v>1.2184630927177258</v>
      </c>
      <c r="D58" s="16">
        <f t="shared" si="7"/>
        <v>1.0484658685430053</v>
      </c>
      <c r="E58" s="16">
        <f t="shared" si="7"/>
        <v>1.0685182587140809</v>
      </c>
      <c r="F58" s="16">
        <f t="shared" si="7"/>
        <v>1.0173784382326445</v>
      </c>
      <c r="G58" s="16">
        <f t="shared" si="7"/>
        <v>0.94763171287116543</v>
      </c>
      <c r="H58" s="16">
        <f t="shared" si="7"/>
        <v>1.0175879925034235</v>
      </c>
      <c r="I58" s="16">
        <f t="shared" si="7"/>
        <v>0.94815858404235076</v>
      </c>
      <c r="J58" s="16">
        <f t="shared" si="7"/>
        <v>8.7371174236595888</v>
      </c>
      <c r="K58" s="16">
        <f t="shared" si="7"/>
        <v>0.92012052252286636</v>
      </c>
      <c r="L58" s="16">
        <f t="shared" si="7"/>
        <v>0.89471243153883062</v>
      </c>
      <c r="M58" s="16">
        <f t="shared" si="7"/>
        <v>1.0426997230753177</v>
      </c>
      <c r="N58" s="16">
        <f t="shared" si="7"/>
        <v>2.1188004534383862</v>
      </c>
    </row>
  </sheetData>
  <conditionalFormatting sqref="C51:N58">
    <cfRule type="cellIs" dxfId="0" priority="1" operator="greaterThan">
      <formula>1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">
    <cfRule type="cellIs" priority="5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2188-9A91-C044-92B7-9975A138F732}">
  <dimension ref="A1:E97"/>
  <sheetViews>
    <sheetView tabSelected="1" topLeftCell="A69" workbookViewId="0">
      <selection activeCell="A93" sqref="A93"/>
    </sheetView>
  </sheetViews>
  <sheetFormatPr baseColWidth="10" defaultColWidth="8.83203125" defaultRowHeight="15" x14ac:dyDescent="0.2"/>
  <cols>
    <col min="2" max="2" width="12.83203125" customWidth="1"/>
    <col min="3" max="3" width="20.1640625" customWidth="1"/>
  </cols>
  <sheetData>
    <row r="1" spans="1:5" x14ac:dyDescent="0.2">
      <c r="B1" t="s">
        <v>125</v>
      </c>
      <c r="C1" t="s">
        <v>27</v>
      </c>
    </row>
    <row r="2" spans="1:5" x14ac:dyDescent="0.2">
      <c r="A2" t="s">
        <v>126</v>
      </c>
      <c r="B2" s="17">
        <v>1.1641249999999999</v>
      </c>
      <c r="C2" s="17">
        <v>2.4929422461847279</v>
      </c>
      <c r="E2" s="17"/>
    </row>
    <row r="3" spans="1:5" x14ac:dyDescent="0.2">
      <c r="A3" t="s">
        <v>30</v>
      </c>
      <c r="B3">
        <v>0.71604999999999996</v>
      </c>
      <c r="C3">
        <v>1.5123282174938024</v>
      </c>
    </row>
    <row r="4" spans="1:5" x14ac:dyDescent="0.2">
      <c r="A4" t="s">
        <v>31</v>
      </c>
      <c r="B4">
        <v>0.62127500000000002</v>
      </c>
      <c r="C4">
        <v>1.3131475319975179</v>
      </c>
    </row>
    <row r="5" spans="1:5" x14ac:dyDescent="0.2">
      <c r="A5" t="s">
        <v>32</v>
      </c>
      <c r="B5">
        <v>0.59265000000000001</v>
      </c>
      <c r="C5">
        <v>1.2531206818781935</v>
      </c>
    </row>
    <row r="6" spans="1:5" x14ac:dyDescent="0.2">
      <c r="A6" t="s">
        <v>33</v>
      </c>
      <c r="B6">
        <v>0.50225000000000009</v>
      </c>
      <c r="C6">
        <v>1.0677537580583563</v>
      </c>
    </row>
    <row r="7" spans="1:5" x14ac:dyDescent="0.2">
      <c r="A7" t="s">
        <v>34</v>
      </c>
      <c r="B7">
        <v>0.48967499999999997</v>
      </c>
      <c r="C7">
        <v>1.03800042794991</v>
      </c>
    </row>
    <row r="8" spans="1:5" x14ac:dyDescent="0.2">
      <c r="A8" t="s">
        <v>35</v>
      </c>
      <c r="B8">
        <v>0.49442499999999995</v>
      </c>
      <c r="C8">
        <v>1.0499248099116558</v>
      </c>
    </row>
    <row r="9" spans="1:5" x14ac:dyDescent="0.2">
      <c r="A9" t="s">
        <v>36</v>
      </c>
      <c r="B9">
        <v>0.49314999999999998</v>
      </c>
      <c r="C9">
        <v>1.0582594199947164</v>
      </c>
    </row>
    <row r="10" spans="1:5" x14ac:dyDescent="0.2">
      <c r="A10" t="s">
        <v>37</v>
      </c>
      <c r="B10">
        <v>0.51349999999999996</v>
      </c>
      <c r="C10">
        <v>1.0947837089202899</v>
      </c>
    </row>
    <row r="11" spans="1:5" x14ac:dyDescent="0.2">
      <c r="A11" t="s">
        <v>38</v>
      </c>
      <c r="B11">
        <v>0.49315000000000003</v>
      </c>
      <c r="C11">
        <v>1.0531301453767368</v>
      </c>
    </row>
    <row r="12" spans="1:5" x14ac:dyDescent="0.2">
      <c r="A12" t="s">
        <v>39</v>
      </c>
      <c r="B12">
        <v>0.46837499999999999</v>
      </c>
      <c r="C12">
        <v>0.99484388728421358</v>
      </c>
    </row>
    <row r="13" spans="1:5" x14ac:dyDescent="0.2">
      <c r="A13" t="s">
        <v>40</v>
      </c>
      <c r="B13">
        <v>0.55865000000000009</v>
      </c>
      <c r="C13">
        <v>1.1896240899172876</v>
      </c>
    </row>
    <row r="14" spans="1:5" x14ac:dyDescent="0.2">
      <c r="A14" t="s">
        <v>41</v>
      </c>
      <c r="B14">
        <v>0.51552500000000001</v>
      </c>
      <c r="C14">
        <v>1.0982074413363321</v>
      </c>
    </row>
    <row r="15" spans="1:5" x14ac:dyDescent="0.2">
      <c r="A15" t="s">
        <v>42</v>
      </c>
      <c r="B15">
        <v>0.49477499999999996</v>
      </c>
      <c r="C15">
        <v>1.046685639328313</v>
      </c>
    </row>
    <row r="16" spans="1:5" x14ac:dyDescent="0.2">
      <c r="A16" t="s">
        <v>43</v>
      </c>
      <c r="B16">
        <v>0.45004999999999995</v>
      </c>
      <c r="C16">
        <v>0.94527222572998082</v>
      </c>
    </row>
    <row r="17" spans="1:3" x14ac:dyDescent="0.2">
      <c r="A17" t="s">
        <v>44</v>
      </c>
      <c r="B17">
        <v>0.41262499999999996</v>
      </c>
      <c r="C17">
        <v>0.86814069981791597</v>
      </c>
    </row>
    <row r="18" spans="1:3" x14ac:dyDescent="0.2">
      <c r="A18" t="s">
        <v>45</v>
      </c>
      <c r="B18">
        <v>0.35835000000000006</v>
      </c>
      <c r="C18">
        <v>0.74817701618738308</v>
      </c>
    </row>
    <row r="19" spans="1:3" x14ac:dyDescent="0.2">
      <c r="A19" t="s">
        <v>46</v>
      </c>
      <c r="B19">
        <v>0.35672500000000001</v>
      </c>
      <c r="C19">
        <v>0.75451873648223389</v>
      </c>
    </row>
    <row r="20" spans="1:3" x14ac:dyDescent="0.2">
      <c r="A20" t="s">
        <v>47</v>
      </c>
      <c r="B20">
        <v>0.33215</v>
      </c>
      <c r="C20">
        <v>0.69936088981109268</v>
      </c>
    </row>
    <row r="21" spans="1:3" x14ac:dyDescent="0.2">
      <c r="A21" t="s">
        <v>48</v>
      </c>
      <c r="B21">
        <v>0.33365</v>
      </c>
      <c r="C21">
        <v>0.70674151162529908</v>
      </c>
    </row>
    <row r="22" spans="1:3" x14ac:dyDescent="0.2">
      <c r="A22" t="s">
        <v>49</v>
      </c>
      <c r="B22">
        <v>0.36467499999999997</v>
      </c>
      <c r="C22">
        <v>0.76028757491224574</v>
      </c>
    </row>
    <row r="23" spans="1:3" x14ac:dyDescent="0.2">
      <c r="A23" t="s">
        <v>50</v>
      </c>
      <c r="B23">
        <v>0.37134999999999996</v>
      </c>
      <c r="C23">
        <v>0.7824878741772634</v>
      </c>
    </row>
    <row r="24" spans="1:3" x14ac:dyDescent="0.2">
      <c r="A24" t="s">
        <v>51</v>
      </c>
      <c r="B24">
        <v>0.50462499999999999</v>
      </c>
      <c r="C24">
        <v>1.1136773069283668</v>
      </c>
    </row>
    <row r="25" spans="1:3" x14ac:dyDescent="0.2">
      <c r="A25" t="s">
        <v>52</v>
      </c>
      <c r="B25">
        <v>0.44452499999999995</v>
      </c>
      <c r="C25">
        <v>0.94283345593115508</v>
      </c>
    </row>
    <row r="26" spans="1:3" x14ac:dyDescent="0.2">
      <c r="A26" t="s">
        <v>53</v>
      </c>
      <c r="B26">
        <v>0.51497499999999996</v>
      </c>
      <c r="C26">
        <v>1.1072190208889356</v>
      </c>
    </row>
    <row r="27" spans="1:3" x14ac:dyDescent="0.2">
      <c r="A27" t="s">
        <v>54</v>
      </c>
      <c r="B27">
        <v>0.41239999999999999</v>
      </c>
      <c r="C27">
        <v>0.87720714644703446</v>
      </c>
    </row>
    <row r="28" spans="1:3" x14ac:dyDescent="0.2">
      <c r="A28" t="s">
        <v>55</v>
      </c>
      <c r="B28">
        <v>0.405725</v>
      </c>
      <c r="C28">
        <v>0.85485361976977581</v>
      </c>
    </row>
    <row r="29" spans="1:3" x14ac:dyDescent="0.2">
      <c r="A29" t="s">
        <v>56</v>
      </c>
      <c r="B29">
        <v>0.3498</v>
      </c>
      <c r="C29">
        <v>0.73707560396987626</v>
      </c>
    </row>
    <row r="30" spans="1:3" x14ac:dyDescent="0.2">
      <c r="A30" t="s">
        <v>57</v>
      </c>
      <c r="B30">
        <v>0.348775</v>
      </c>
      <c r="C30">
        <v>0.73647202621535146</v>
      </c>
    </row>
    <row r="31" spans="1:3" x14ac:dyDescent="0.2">
      <c r="A31" t="s">
        <v>58</v>
      </c>
      <c r="B31">
        <v>0.33492499999999997</v>
      </c>
      <c r="C31">
        <v>0.70848066262426301</v>
      </c>
    </row>
    <row r="32" spans="1:3" x14ac:dyDescent="0.2">
      <c r="A32" t="s">
        <v>59</v>
      </c>
      <c r="B32">
        <v>0.31519999999999998</v>
      </c>
      <c r="C32">
        <v>0.6590739962589558</v>
      </c>
    </row>
    <row r="33" spans="1:3" x14ac:dyDescent="0.2">
      <c r="A33" t="s">
        <v>60</v>
      </c>
      <c r="B33">
        <v>0.33044999999999997</v>
      </c>
      <c r="C33">
        <v>0.69608354667727945</v>
      </c>
    </row>
    <row r="34" spans="1:3" x14ac:dyDescent="0.2">
      <c r="A34" t="s">
        <v>61</v>
      </c>
      <c r="B34">
        <v>0.40990000000000004</v>
      </c>
      <c r="C34">
        <v>0.86229548380764942</v>
      </c>
    </row>
    <row r="35" spans="1:3" x14ac:dyDescent="0.2">
      <c r="A35" t="s">
        <v>62</v>
      </c>
      <c r="B35">
        <v>0.3735</v>
      </c>
      <c r="C35">
        <v>0.77946068230467502</v>
      </c>
    </row>
    <row r="36" spans="1:3" x14ac:dyDescent="0.2">
      <c r="A36" t="s">
        <v>63</v>
      </c>
      <c r="B36">
        <v>0.36285000000000001</v>
      </c>
      <c r="C36">
        <v>0.76764391953185573</v>
      </c>
    </row>
    <row r="37" spans="1:3" x14ac:dyDescent="0.2">
      <c r="A37" t="s">
        <v>64</v>
      </c>
      <c r="B37">
        <v>0.48402499999999993</v>
      </c>
      <c r="C37">
        <v>1.0294148643540586</v>
      </c>
    </row>
    <row r="38" spans="1:3" x14ac:dyDescent="0.2">
      <c r="A38" t="s">
        <v>65</v>
      </c>
      <c r="B38">
        <v>0.47745000000000004</v>
      </c>
      <c r="C38">
        <v>1.0128341424891945</v>
      </c>
    </row>
    <row r="39" spans="1:3" x14ac:dyDescent="0.2">
      <c r="A39" t="s">
        <v>66</v>
      </c>
      <c r="B39">
        <v>0.43217499999999998</v>
      </c>
      <c r="C39">
        <v>0.91196611043135245</v>
      </c>
    </row>
    <row r="40" spans="1:3" x14ac:dyDescent="0.2">
      <c r="A40" t="s">
        <v>67</v>
      </c>
      <c r="B40">
        <v>0.36899999999999999</v>
      </c>
      <c r="C40">
        <v>0.76916915869487701</v>
      </c>
    </row>
    <row r="41" spans="1:3" x14ac:dyDescent="0.2">
      <c r="A41" t="s">
        <v>68</v>
      </c>
      <c r="B41">
        <v>0.39532500000000004</v>
      </c>
      <c r="C41">
        <v>0.83838638523021047</v>
      </c>
    </row>
    <row r="42" spans="1:3" x14ac:dyDescent="0.2">
      <c r="A42" t="s">
        <v>69</v>
      </c>
      <c r="B42">
        <v>0.355825</v>
      </c>
      <c r="C42">
        <v>0.7421363527405147</v>
      </c>
    </row>
    <row r="43" spans="1:3" x14ac:dyDescent="0.2">
      <c r="A43" t="s">
        <v>70</v>
      </c>
      <c r="B43">
        <v>0.32719999999999999</v>
      </c>
      <c r="C43">
        <v>0.6836953741274262</v>
      </c>
    </row>
    <row r="44" spans="1:3" x14ac:dyDescent="0.2">
      <c r="A44" t="s">
        <v>71</v>
      </c>
      <c r="B44">
        <v>0.32645000000000002</v>
      </c>
      <c r="C44">
        <v>0.68780341458596772</v>
      </c>
    </row>
    <row r="45" spans="1:3" x14ac:dyDescent="0.2">
      <c r="A45" t="s">
        <v>72</v>
      </c>
      <c r="B45">
        <v>0.38019999999999998</v>
      </c>
      <c r="C45">
        <v>0.79989552884631288</v>
      </c>
    </row>
    <row r="46" spans="1:3" x14ac:dyDescent="0.2">
      <c r="A46" t="s">
        <v>73</v>
      </c>
      <c r="B46">
        <v>0.35147499999999998</v>
      </c>
      <c r="C46">
        <v>0.73847457156083096</v>
      </c>
    </row>
    <row r="47" spans="1:3" x14ac:dyDescent="0.2">
      <c r="A47" t="s">
        <v>74</v>
      </c>
      <c r="B47">
        <v>0.40839999999999999</v>
      </c>
      <c r="C47">
        <v>0.86688397200180756</v>
      </c>
    </row>
    <row r="48" spans="1:3" x14ac:dyDescent="0.2">
      <c r="A48" t="s">
        <v>75</v>
      </c>
      <c r="B48">
        <v>0.39415</v>
      </c>
      <c r="C48">
        <v>0.82284594250831788</v>
      </c>
    </row>
    <row r="49" spans="1:5" x14ac:dyDescent="0.2">
      <c r="A49" t="s">
        <v>128</v>
      </c>
      <c r="B49" s="6">
        <v>0.47350000000000003</v>
      </c>
      <c r="C49" s="6">
        <v>1</v>
      </c>
      <c r="E49" s="6"/>
    </row>
    <row r="50" spans="1:5" x14ac:dyDescent="0.2">
      <c r="A50" t="s">
        <v>77</v>
      </c>
      <c r="B50">
        <v>0.50249999999999995</v>
      </c>
      <c r="C50">
        <v>1.0743272182369901</v>
      </c>
    </row>
    <row r="51" spans="1:5" x14ac:dyDescent="0.2">
      <c r="A51" t="s">
        <v>78</v>
      </c>
      <c r="B51">
        <v>0.45960000000000001</v>
      </c>
      <c r="C51">
        <v>0.96691366644437515</v>
      </c>
    </row>
    <row r="52" spans="1:5" x14ac:dyDescent="0.2">
      <c r="A52" t="s">
        <v>79</v>
      </c>
      <c r="B52">
        <v>0.395675</v>
      </c>
      <c r="C52">
        <v>0.83007383509581001</v>
      </c>
    </row>
    <row r="53" spans="1:5" x14ac:dyDescent="0.2">
      <c r="A53" t="s">
        <v>80</v>
      </c>
      <c r="B53">
        <v>0.33600000000000002</v>
      </c>
      <c r="C53">
        <v>0.70914045900670786</v>
      </c>
    </row>
    <row r="54" spans="1:5" x14ac:dyDescent="0.2">
      <c r="A54" t="s">
        <v>81</v>
      </c>
      <c r="B54">
        <v>0.37087500000000001</v>
      </c>
      <c r="C54">
        <v>0.78694745959468515</v>
      </c>
    </row>
    <row r="55" spans="1:5" x14ac:dyDescent="0.2">
      <c r="A55" t="s">
        <v>82</v>
      </c>
      <c r="B55">
        <v>0.36170000000000002</v>
      </c>
      <c r="C55">
        <v>0.75370561838445449</v>
      </c>
    </row>
    <row r="56" spans="1:5" x14ac:dyDescent="0.2">
      <c r="A56" t="s">
        <v>83</v>
      </c>
      <c r="B56">
        <v>0.37149999999999994</v>
      </c>
      <c r="C56">
        <v>0.78086413254126175</v>
      </c>
    </row>
    <row r="57" spans="1:5" x14ac:dyDescent="0.2">
      <c r="A57" t="s">
        <v>84</v>
      </c>
      <c r="B57">
        <v>0.42207499999999998</v>
      </c>
      <c r="C57">
        <v>0.88761666808003326</v>
      </c>
    </row>
    <row r="58" spans="1:5" x14ac:dyDescent="0.2">
      <c r="A58" t="s">
        <v>85</v>
      </c>
      <c r="B58">
        <v>0.38027500000000003</v>
      </c>
      <c r="C58">
        <v>0.80430236795409682</v>
      </c>
    </row>
    <row r="59" spans="1:5" x14ac:dyDescent="0.2">
      <c r="A59" t="s">
        <v>86</v>
      </c>
      <c r="B59">
        <v>0.40942500000000004</v>
      </c>
      <c r="C59">
        <v>0.86698089391842958</v>
      </c>
    </row>
    <row r="60" spans="1:5" x14ac:dyDescent="0.2">
      <c r="A60" t="s">
        <v>87</v>
      </c>
      <c r="B60">
        <v>0.39487499999999998</v>
      </c>
      <c r="C60">
        <v>0.82680333016797081</v>
      </c>
    </row>
    <row r="61" spans="1:5" x14ac:dyDescent="0.2">
      <c r="A61" t="s">
        <v>88</v>
      </c>
      <c r="B61">
        <v>1.10195</v>
      </c>
      <c r="C61">
        <v>2.3561623915886769</v>
      </c>
    </row>
    <row r="62" spans="1:5" x14ac:dyDescent="0.2">
      <c r="A62" t="s">
        <v>89</v>
      </c>
      <c r="B62">
        <v>0.53422499999999995</v>
      </c>
      <c r="C62">
        <v>1.1386090666394062</v>
      </c>
    </row>
    <row r="63" spans="1:5" x14ac:dyDescent="0.2">
      <c r="A63" t="s">
        <v>90</v>
      </c>
      <c r="B63">
        <v>0.44832499999999997</v>
      </c>
      <c r="C63">
        <v>0.93835677344385204</v>
      </c>
    </row>
    <row r="64" spans="1:5" x14ac:dyDescent="0.2">
      <c r="A64" t="s">
        <v>91</v>
      </c>
      <c r="B64">
        <v>0.41739999999999999</v>
      </c>
      <c r="C64">
        <v>0.87086000561669075</v>
      </c>
    </row>
    <row r="65" spans="1:3" x14ac:dyDescent="0.2">
      <c r="A65" t="s">
        <v>92</v>
      </c>
      <c r="B65">
        <v>0.37212500000000004</v>
      </c>
      <c r="C65">
        <v>0.78624192776879087</v>
      </c>
    </row>
    <row r="66" spans="1:3" x14ac:dyDescent="0.2">
      <c r="A66" t="s">
        <v>93</v>
      </c>
      <c r="B66">
        <v>0.38827499999999998</v>
      </c>
      <c r="C66">
        <v>0.81682246483138155</v>
      </c>
    </row>
    <row r="67" spans="1:3" x14ac:dyDescent="0.2">
      <c r="A67" t="s">
        <v>94</v>
      </c>
      <c r="B67">
        <v>0.35887499999999994</v>
      </c>
      <c r="C67">
        <v>0.75269413032224319</v>
      </c>
    </row>
    <row r="68" spans="1:3" x14ac:dyDescent="0.2">
      <c r="A68" t="s">
        <v>95</v>
      </c>
      <c r="B68">
        <v>0.40832499999999999</v>
      </c>
      <c r="C68">
        <v>0.85868143552978315</v>
      </c>
    </row>
    <row r="69" spans="1:3" x14ac:dyDescent="0.2">
      <c r="A69" t="s">
        <v>96</v>
      </c>
      <c r="B69">
        <v>0.462225</v>
      </c>
      <c r="C69">
        <v>0.9713053929908344</v>
      </c>
    </row>
    <row r="70" spans="1:3" x14ac:dyDescent="0.2">
      <c r="A70" t="s">
        <v>97</v>
      </c>
      <c r="B70">
        <v>0.41349999999999998</v>
      </c>
      <c r="C70">
        <v>0.87655314508463578</v>
      </c>
    </row>
    <row r="71" spans="1:3" x14ac:dyDescent="0.2">
      <c r="A71" t="s">
        <v>98</v>
      </c>
      <c r="B71">
        <v>0.41402499999999998</v>
      </c>
      <c r="C71">
        <v>0.88219862542361849</v>
      </c>
    </row>
    <row r="72" spans="1:3" x14ac:dyDescent="0.2">
      <c r="A72" t="s">
        <v>99</v>
      </c>
      <c r="B72">
        <v>0.48652499999999999</v>
      </c>
      <c r="C72">
        <v>1.0226499440403358</v>
      </c>
    </row>
    <row r="73" spans="1:3" x14ac:dyDescent="0.2">
      <c r="A73" t="s">
        <v>100</v>
      </c>
      <c r="B73">
        <v>1.0963500000000002</v>
      </c>
      <c r="C73">
        <v>2.3133721418468514</v>
      </c>
    </row>
    <row r="74" spans="1:3" x14ac:dyDescent="0.2">
      <c r="A74" t="s">
        <v>101</v>
      </c>
      <c r="B74">
        <v>0.51784999999999992</v>
      </c>
      <c r="C74">
        <v>1.1017093657775086</v>
      </c>
    </row>
    <row r="75" spans="1:3" x14ac:dyDescent="0.2">
      <c r="A75" t="s">
        <v>102</v>
      </c>
      <c r="B75">
        <v>0.43030000000000002</v>
      </c>
      <c r="C75">
        <v>0.90636024155717476</v>
      </c>
    </row>
    <row r="76" spans="1:3" x14ac:dyDescent="0.2">
      <c r="A76" t="s">
        <v>103</v>
      </c>
      <c r="B76">
        <v>0.44697500000000001</v>
      </c>
      <c r="C76">
        <v>0.93969939174723049</v>
      </c>
    </row>
    <row r="77" spans="1:3" x14ac:dyDescent="0.2">
      <c r="A77" t="s">
        <v>104</v>
      </c>
      <c r="B77">
        <v>0.47409999999999997</v>
      </c>
      <c r="C77">
        <v>1.0098609938754799</v>
      </c>
    </row>
    <row r="78" spans="1:3" x14ac:dyDescent="0.2">
      <c r="A78" t="s">
        <v>105</v>
      </c>
      <c r="B78">
        <v>0.40032499999999993</v>
      </c>
      <c r="C78">
        <v>0.84788766057812781</v>
      </c>
    </row>
    <row r="79" spans="1:3" x14ac:dyDescent="0.2">
      <c r="A79" t="s">
        <v>106</v>
      </c>
      <c r="B79">
        <v>0.4279</v>
      </c>
      <c r="C79">
        <v>0.90222345308319651</v>
      </c>
    </row>
    <row r="80" spans="1:3" x14ac:dyDescent="0.2">
      <c r="A80" t="s">
        <v>107</v>
      </c>
      <c r="B80">
        <v>0.44677500000000003</v>
      </c>
      <c r="C80">
        <v>0.93341421802895841</v>
      </c>
    </row>
    <row r="81" spans="1:5" x14ac:dyDescent="0.2">
      <c r="A81" t="s">
        <v>108</v>
      </c>
      <c r="B81">
        <v>0.41757500000000003</v>
      </c>
      <c r="C81">
        <v>0.87919037238262154</v>
      </c>
    </row>
    <row r="82" spans="1:5" x14ac:dyDescent="0.2">
      <c r="A82" t="s">
        <v>109</v>
      </c>
      <c r="B82">
        <v>0.45407500000000001</v>
      </c>
      <c r="C82">
        <v>0.95880285972150037</v>
      </c>
    </row>
    <row r="83" spans="1:5" x14ac:dyDescent="0.2">
      <c r="A83" t="s">
        <v>110</v>
      </c>
      <c r="B83">
        <v>0.44869999999999999</v>
      </c>
      <c r="C83">
        <v>0.95968802274166309</v>
      </c>
    </row>
    <row r="84" spans="1:5" x14ac:dyDescent="0.2">
      <c r="A84" t="s">
        <v>111</v>
      </c>
      <c r="B84">
        <v>0.49364999999999998</v>
      </c>
      <c r="C84">
        <v>1.0411449304067337</v>
      </c>
    </row>
    <row r="85" spans="1:5" x14ac:dyDescent="0.2">
      <c r="A85" t="s">
        <v>112</v>
      </c>
      <c r="B85">
        <v>0.94445000000000001</v>
      </c>
      <c r="C85">
        <v>1.9589227603884045</v>
      </c>
    </row>
    <row r="86" spans="1:5" x14ac:dyDescent="0.2">
      <c r="A86" t="s">
        <v>113</v>
      </c>
      <c r="B86">
        <v>0.56630000000000003</v>
      </c>
      <c r="C86">
        <v>1.2184630927177258</v>
      </c>
    </row>
    <row r="87" spans="1:5" x14ac:dyDescent="0.2">
      <c r="A87" t="s">
        <v>114</v>
      </c>
      <c r="B87">
        <v>0.49835000000000002</v>
      </c>
      <c r="C87">
        <v>1.0484658685430053</v>
      </c>
    </row>
    <row r="88" spans="1:5" x14ac:dyDescent="0.2">
      <c r="A88" t="s">
        <v>115</v>
      </c>
      <c r="B88">
        <v>0.50747500000000001</v>
      </c>
      <c r="C88">
        <v>1.0685182587140809</v>
      </c>
    </row>
    <row r="89" spans="1:5" x14ac:dyDescent="0.2">
      <c r="A89" t="s">
        <v>116</v>
      </c>
      <c r="B89">
        <v>0.48422500000000002</v>
      </c>
      <c r="C89">
        <v>1.0173784382326445</v>
      </c>
    </row>
    <row r="90" spans="1:5" x14ac:dyDescent="0.2">
      <c r="A90" t="s">
        <v>117</v>
      </c>
      <c r="B90">
        <v>0.45302500000000001</v>
      </c>
      <c r="C90">
        <v>0.94763171287116543</v>
      </c>
    </row>
    <row r="91" spans="1:5" x14ac:dyDescent="0.2">
      <c r="A91" t="s">
        <v>118</v>
      </c>
      <c r="B91">
        <v>0.47819999999999996</v>
      </c>
      <c r="C91">
        <v>1.0175879925034235</v>
      </c>
    </row>
    <row r="92" spans="1:5" x14ac:dyDescent="0.2">
      <c r="A92" t="s">
        <v>119</v>
      </c>
      <c r="B92">
        <v>0.449125</v>
      </c>
      <c r="C92">
        <v>0.94815858404235076</v>
      </c>
    </row>
    <row r="93" spans="1:5" x14ac:dyDescent="0.2">
      <c r="A93" t="s">
        <v>129</v>
      </c>
      <c r="B93" s="18">
        <v>4.0734999999999992</v>
      </c>
      <c r="C93" s="18">
        <v>8.7371174236595888</v>
      </c>
      <c r="E93" s="18"/>
    </row>
    <row r="94" spans="1:5" x14ac:dyDescent="0.2">
      <c r="A94" t="s">
        <v>121</v>
      </c>
      <c r="B94">
        <v>0.43335000000000001</v>
      </c>
      <c r="C94">
        <v>0.92012052252286636</v>
      </c>
    </row>
    <row r="95" spans="1:5" x14ac:dyDescent="0.2">
      <c r="A95" t="s">
        <v>122</v>
      </c>
      <c r="B95">
        <v>0.42680000000000001</v>
      </c>
      <c r="C95">
        <v>0.89471243153883062</v>
      </c>
    </row>
    <row r="96" spans="1:5" x14ac:dyDescent="0.2">
      <c r="A96" t="s">
        <v>123</v>
      </c>
      <c r="B96">
        <v>0.48964999999999997</v>
      </c>
      <c r="C96">
        <v>1.0426997230753177</v>
      </c>
    </row>
    <row r="97" spans="1:3" x14ac:dyDescent="0.2">
      <c r="A97" t="s">
        <v>124</v>
      </c>
      <c r="B97">
        <v>1.0061499999999999</v>
      </c>
      <c r="C97">
        <v>2.1188004534383862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13B9-697F-4E80-880C-0B6F6FD545F8}">
  <dimension ref="A1:F97"/>
  <sheetViews>
    <sheetView workbookViewId="0">
      <selection activeCell="F2" sqref="F2"/>
    </sheetView>
  </sheetViews>
  <sheetFormatPr baseColWidth="10" defaultColWidth="8.83203125" defaultRowHeight="15" x14ac:dyDescent="0.2"/>
  <cols>
    <col min="2" max="2" width="12.83203125" customWidth="1"/>
    <col min="3" max="3" width="20.1640625" customWidth="1"/>
  </cols>
  <sheetData>
    <row r="1" spans="1:6" x14ac:dyDescent="0.2">
      <c r="B1" t="s">
        <v>125</v>
      </c>
      <c r="C1" t="s">
        <v>27</v>
      </c>
    </row>
    <row r="2" spans="1:6" x14ac:dyDescent="0.2">
      <c r="A2" t="s">
        <v>29</v>
      </c>
      <c r="B2" s="17">
        <v>1.1641249999999999</v>
      </c>
      <c r="C2" s="17">
        <v>2.4929422461847279</v>
      </c>
      <c r="E2" s="17"/>
      <c r="F2" t="s">
        <v>126</v>
      </c>
    </row>
    <row r="3" spans="1:6" x14ac:dyDescent="0.2">
      <c r="A3" t="s">
        <v>30</v>
      </c>
      <c r="B3">
        <v>0.71604999999999996</v>
      </c>
      <c r="C3">
        <v>1.5123282174938024</v>
      </c>
    </row>
    <row r="4" spans="1:6" x14ac:dyDescent="0.2">
      <c r="A4" t="s">
        <v>31</v>
      </c>
      <c r="B4">
        <v>0.62127500000000002</v>
      </c>
      <c r="C4">
        <v>1.3131475319975179</v>
      </c>
    </row>
    <row r="5" spans="1:6" x14ac:dyDescent="0.2">
      <c r="A5" t="s">
        <v>32</v>
      </c>
      <c r="B5">
        <v>0.59265000000000001</v>
      </c>
      <c r="C5">
        <v>1.2531206818781935</v>
      </c>
    </row>
    <row r="6" spans="1:6" x14ac:dyDescent="0.2">
      <c r="A6" t="s">
        <v>33</v>
      </c>
      <c r="B6">
        <v>0.50225000000000009</v>
      </c>
      <c r="C6">
        <v>1.0677537580583563</v>
      </c>
    </row>
    <row r="7" spans="1:6" x14ac:dyDescent="0.2">
      <c r="A7" t="s">
        <v>34</v>
      </c>
      <c r="B7">
        <v>0.48967499999999997</v>
      </c>
      <c r="C7">
        <v>1.03800042794991</v>
      </c>
    </row>
    <row r="8" spans="1:6" x14ac:dyDescent="0.2">
      <c r="A8" t="s">
        <v>35</v>
      </c>
      <c r="B8">
        <v>0.49442499999999995</v>
      </c>
      <c r="C8">
        <v>1.0499248099116558</v>
      </c>
    </row>
    <row r="9" spans="1:6" x14ac:dyDescent="0.2">
      <c r="A9" t="s">
        <v>36</v>
      </c>
      <c r="B9">
        <v>0.49314999999999998</v>
      </c>
      <c r="C9">
        <v>1.0582594199947164</v>
      </c>
    </row>
    <row r="10" spans="1:6" x14ac:dyDescent="0.2">
      <c r="A10" t="s">
        <v>37</v>
      </c>
      <c r="B10">
        <v>0.51349999999999996</v>
      </c>
      <c r="C10">
        <v>1.0947837089202899</v>
      </c>
    </row>
    <row r="11" spans="1:6" x14ac:dyDescent="0.2">
      <c r="A11" t="s">
        <v>38</v>
      </c>
      <c r="B11">
        <v>0.49315000000000003</v>
      </c>
      <c r="C11">
        <v>1.0531301453767368</v>
      </c>
    </row>
    <row r="12" spans="1:6" x14ac:dyDescent="0.2">
      <c r="A12" t="s">
        <v>39</v>
      </c>
      <c r="B12">
        <v>0.46837499999999999</v>
      </c>
      <c r="C12">
        <v>0.99484388728421358</v>
      </c>
    </row>
    <row r="13" spans="1:6" x14ac:dyDescent="0.2">
      <c r="A13" t="s">
        <v>40</v>
      </c>
      <c r="B13">
        <v>0.55865000000000009</v>
      </c>
      <c r="C13">
        <v>1.1896240899172876</v>
      </c>
    </row>
    <row r="14" spans="1:6" x14ac:dyDescent="0.2">
      <c r="A14" t="s">
        <v>41</v>
      </c>
      <c r="B14">
        <v>0.51552500000000001</v>
      </c>
      <c r="C14">
        <v>1.0982074413363321</v>
      </c>
    </row>
    <row r="15" spans="1:6" x14ac:dyDescent="0.2">
      <c r="A15" t="s">
        <v>42</v>
      </c>
      <c r="B15">
        <v>0.49477499999999996</v>
      </c>
      <c r="C15">
        <v>1.046685639328313</v>
      </c>
    </row>
    <row r="16" spans="1:6" x14ac:dyDescent="0.2">
      <c r="A16" t="s">
        <v>43</v>
      </c>
      <c r="B16">
        <v>0.45004999999999995</v>
      </c>
      <c r="C16">
        <v>0.94527222572998082</v>
      </c>
    </row>
    <row r="17" spans="1:3" x14ac:dyDescent="0.2">
      <c r="A17" t="s">
        <v>44</v>
      </c>
      <c r="B17">
        <v>0.41262499999999996</v>
      </c>
      <c r="C17">
        <v>0.86814069981791597</v>
      </c>
    </row>
    <row r="18" spans="1:3" x14ac:dyDescent="0.2">
      <c r="A18" t="s">
        <v>45</v>
      </c>
      <c r="B18">
        <v>0.35835000000000006</v>
      </c>
      <c r="C18">
        <v>0.74817701618738308</v>
      </c>
    </row>
    <row r="19" spans="1:3" x14ac:dyDescent="0.2">
      <c r="A19" t="s">
        <v>46</v>
      </c>
      <c r="B19">
        <v>0.35672500000000001</v>
      </c>
      <c r="C19">
        <v>0.75451873648223389</v>
      </c>
    </row>
    <row r="20" spans="1:3" x14ac:dyDescent="0.2">
      <c r="A20" t="s">
        <v>47</v>
      </c>
      <c r="B20">
        <v>0.33215</v>
      </c>
      <c r="C20">
        <v>0.69936088981109268</v>
      </c>
    </row>
    <row r="21" spans="1:3" x14ac:dyDescent="0.2">
      <c r="A21" t="s">
        <v>48</v>
      </c>
      <c r="B21">
        <v>0.33365</v>
      </c>
      <c r="C21">
        <v>0.70674151162529908</v>
      </c>
    </row>
    <row r="22" spans="1:3" x14ac:dyDescent="0.2">
      <c r="A22" t="s">
        <v>49</v>
      </c>
      <c r="B22">
        <v>0.36467499999999997</v>
      </c>
      <c r="C22">
        <v>0.76028757491224574</v>
      </c>
    </row>
    <row r="23" spans="1:3" x14ac:dyDescent="0.2">
      <c r="A23" t="s">
        <v>50</v>
      </c>
      <c r="B23">
        <v>0.37134999999999996</v>
      </c>
      <c r="C23">
        <v>0.7824878741772634</v>
      </c>
    </row>
    <row r="24" spans="1:3" x14ac:dyDescent="0.2">
      <c r="A24" t="s">
        <v>51</v>
      </c>
      <c r="B24">
        <v>0.50462499999999999</v>
      </c>
      <c r="C24">
        <v>1.1136773069283668</v>
      </c>
    </row>
    <row r="25" spans="1:3" x14ac:dyDescent="0.2">
      <c r="A25" t="s">
        <v>52</v>
      </c>
      <c r="B25">
        <v>0.44452499999999995</v>
      </c>
      <c r="C25">
        <v>0.94283345593115508</v>
      </c>
    </row>
    <row r="26" spans="1:3" x14ac:dyDescent="0.2">
      <c r="A26" t="s">
        <v>53</v>
      </c>
      <c r="B26">
        <v>0.51497499999999996</v>
      </c>
      <c r="C26">
        <v>1.1072190208889356</v>
      </c>
    </row>
    <row r="27" spans="1:3" x14ac:dyDescent="0.2">
      <c r="A27" t="s">
        <v>54</v>
      </c>
      <c r="B27">
        <v>0.41239999999999999</v>
      </c>
      <c r="C27">
        <v>0.87720714644703446</v>
      </c>
    </row>
    <row r="28" spans="1:3" x14ac:dyDescent="0.2">
      <c r="A28" t="s">
        <v>55</v>
      </c>
      <c r="B28">
        <v>0.405725</v>
      </c>
      <c r="C28">
        <v>0.85485361976977581</v>
      </c>
    </row>
    <row r="29" spans="1:3" x14ac:dyDescent="0.2">
      <c r="A29" t="s">
        <v>56</v>
      </c>
      <c r="B29">
        <v>0.3498</v>
      </c>
      <c r="C29">
        <v>0.73707560396987626</v>
      </c>
    </row>
    <row r="30" spans="1:3" x14ac:dyDescent="0.2">
      <c r="A30" t="s">
        <v>57</v>
      </c>
      <c r="B30">
        <v>0.348775</v>
      </c>
      <c r="C30">
        <v>0.73647202621535146</v>
      </c>
    </row>
    <row r="31" spans="1:3" x14ac:dyDescent="0.2">
      <c r="A31" t="s">
        <v>58</v>
      </c>
      <c r="B31">
        <v>0.33492499999999997</v>
      </c>
      <c r="C31">
        <v>0.70848066262426301</v>
      </c>
    </row>
    <row r="32" spans="1:3" x14ac:dyDescent="0.2">
      <c r="A32" t="s">
        <v>59</v>
      </c>
      <c r="B32">
        <v>0.31519999999999998</v>
      </c>
      <c r="C32">
        <v>0.6590739962589558</v>
      </c>
    </row>
    <row r="33" spans="1:3" x14ac:dyDescent="0.2">
      <c r="A33" t="s">
        <v>60</v>
      </c>
      <c r="B33">
        <v>0.33044999999999997</v>
      </c>
      <c r="C33">
        <v>0.69608354667727945</v>
      </c>
    </row>
    <row r="34" spans="1:3" x14ac:dyDescent="0.2">
      <c r="A34" t="s">
        <v>61</v>
      </c>
      <c r="B34">
        <v>0.40990000000000004</v>
      </c>
      <c r="C34">
        <v>0.86229548380764942</v>
      </c>
    </row>
    <row r="35" spans="1:3" x14ac:dyDescent="0.2">
      <c r="A35" t="s">
        <v>62</v>
      </c>
      <c r="B35">
        <v>0.3735</v>
      </c>
      <c r="C35">
        <v>0.77946068230467502</v>
      </c>
    </row>
    <row r="36" spans="1:3" x14ac:dyDescent="0.2">
      <c r="A36" t="s">
        <v>63</v>
      </c>
      <c r="B36">
        <v>0.36285000000000001</v>
      </c>
      <c r="C36">
        <v>0.76764391953185573</v>
      </c>
    </row>
    <row r="37" spans="1:3" x14ac:dyDescent="0.2">
      <c r="A37" t="s">
        <v>64</v>
      </c>
      <c r="B37">
        <v>0.48402499999999993</v>
      </c>
      <c r="C37">
        <v>1.0294148643540586</v>
      </c>
    </row>
    <row r="38" spans="1:3" x14ac:dyDescent="0.2">
      <c r="A38" t="s">
        <v>65</v>
      </c>
      <c r="B38">
        <v>0.47745000000000004</v>
      </c>
      <c r="C38">
        <v>1.0128341424891945</v>
      </c>
    </row>
    <row r="39" spans="1:3" x14ac:dyDescent="0.2">
      <c r="A39" t="s">
        <v>66</v>
      </c>
      <c r="B39">
        <v>0.43217499999999998</v>
      </c>
      <c r="C39">
        <v>0.91196611043135245</v>
      </c>
    </row>
    <row r="40" spans="1:3" x14ac:dyDescent="0.2">
      <c r="A40" t="s">
        <v>67</v>
      </c>
      <c r="B40">
        <v>0.36899999999999999</v>
      </c>
      <c r="C40">
        <v>0.76916915869487701</v>
      </c>
    </row>
    <row r="41" spans="1:3" x14ac:dyDescent="0.2">
      <c r="A41" t="s">
        <v>68</v>
      </c>
      <c r="B41">
        <v>0.39532500000000004</v>
      </c>
      <c r="C41">
        <v>0.83838638523021047</v>
      </c>
    </row>
    <row r="42" spans="1:3" x14ac:dyDescent="0.2">
      <c r="A42" t="s">
        <v>69</v>
      </c>
      <c r="B42">
        <v>0.355825</v>
      </c>
      <c r="C42">
        <v>0.7421363527405147</v>
      </c>
    </row>
    <row r="43" spans="1:3" x14ac:dyDescent="0.2">
      <c r="A43" t="s">
        <v>70</v>
      </c>
      <c r="B43">
        <v>0.32719999999999999</v>
      </c>
      <c r="C43">
        <v>0.6836953741274262</v>
      </c>
    </row>
    <row r="44" spans="1:3" x14ac:dyDescent="0.2">
      <c r="A44" t="s">
        <v>71</v>
      </c>
      <c r="B44">
        <v>0.32645000000000002</v>
      </c>
      <c r="C44">
        <v>0.68780341458596772</v>
      </c>
    </row>
    <row r="45" spans="1:3" x14ac:dyDescent="0.2">
      <c r="A45" t="s">
        <v>72</v>
      </c>
      <c r="B45">
        <v>0.38019999999999998</v>
      </c>
      <c r="C45">
        <v>0.79989552884631288</v>
      </c>
    </row>
    <row r="46" spans="1:3" x14ac:dyDescent="0.2">
      <c r="A46" t="s">
        <v>73</v>
      </c>
      <c r="B46">
        <v>0.35147499999999998</v>
      </c>
      <c r="C46">
        <v>0.73847457156083096</v>
      </c>
    </row>
    <row r="47" spans="1:3" x14ac:dyDescent="0.2">
      <c r="A47" t="s">
        <v>74</v>
      </c>
      <c r="B47">
        <v>0.40839999999999999</v>
      </c>
      <c r="C47">
        <v>0.86688397200180756</v>
      </c>
    </row>
    <row r="48" spans="1:3" x14ac:dyDescent="0.2">
      <c r="A48" t="s">
        <v>75</v>
      </c>
      <c r="B48">
        <v>0.39415</v>
      </c>
      <c r="C48">
        <v>0.82284594250831788</v>
      </c>
    </row>
    <row r="49" spans="1:6" x14ac:dyDescent="0.2">
      <c r="A49" s="6" t="s">
        <v>76</v>
      </c>
      <c r="B49" s="6">
        <v>0.47350000000000003</v>
      </c>
      <c r="C49" s="6">
        <v>1</v>
      </c>
      <c r="E49" s="6"/>
      <c r="F49" t="s">
        <v>22</v>
      </c>
    </row>
    <row r="50" spans="1:6" x14ac:dyDescent="0.2">
      <c r="A50" t="s">
        <v>77</v>
      </c>
      <c r="B50">
        <v>0.50249999999999995</v>
      </c>
      <c r="C50">
        <v>1.0743272182369901</v>
      </c>
    </row>
    <row r="51" spans="1:6" x14ac:dyDescent="0.2">
      <c r="A51" t="s">
        <v>78</v>
      </c>
      <c r="B51">
        <v>0.45960000000000001</v>
      </c>
      <c r="C51">
        <v>0.96691366644437515</v>
      </c>
    </row>
    <row r="52" spans="1:6" x14ac:dyDescent="0.2">
      <c r="A52" t="s">
        <v>79</v>
      </c>
      <c r="B52">
        <v>0.395675</v>
      </c>
      <c r="C52">
        <v>0.83007383509581001</v>
      </c>
    </row>
    <row r="53" spans="1:6" x14ac:dyDescent="0.2">
      <c r="A53" t="s">
        <v>80</v>
      </c>
      <c r="B53">
        <v>0.33600000000000002</v>
      </c>
      <c r="C53">
        <v>0.70914045900670786</v>
      </c>
    </row>
    <row r="54" spans="1:6" x14ac:dyDescent="0.2">
      <c r="A54" t="s">
        <v>81</v>
      </c>
      <c r="B54">
        <v>0.37087500000000001</v>
      </c>
      <c r="C54">
        <v>0.78694745959468515</v>
      </c>
    </row>
    <row r="55" spans="1:6" x14ac:dyDescent="0.2">
      <c r="A55" t="s">
        <v>82</v>
      </c>
      <c r="B55">
        <v>0.36170000000000002</v>
      </c>
      <c r="C55">
        <v>0.75370561838445449</v>
      </c>
    </row>
    <row r="56" spans="1:6" x14ac:dyDescent="0.2">
      <c r="A56" t="s">
        <v>83</v>
      </c>
      <c r="B56">
        <v>0.37149999999999994</v>
      </c>
      <c r="C56">
        <v>0.78086413254126175</v>
      </c>
    </row>
    <row r="57" spans="1:6" x14ac:dyDescent="0.2">
      <c r="A57" t="s">
        <v>84</v>
      </c>
      <c r="B57">
        <v>0.42207499999999998</v>
      </c>
      <c r="C57">
        <v>0.88761666808003326</v>
      </c>
    </row>
    <row r="58" spans="1:6" x14ac:dyDescent="0.2">
      <c r="A58" t="s">
        <v>85</v>
      </c>
      <c r="B58">
        <v>0.38027500000000003</v>
      </c>
      <c r="C58">
        <v>0.80430236795409682</v>
      </c>
    </row>
    <row r="59" spans="1:6" x14ac:dyDescent="0.2">
      <c r="A59" t="s">
        <v>86</v>
      </c>
      <c r="B59">
        <v>0.40942500000000004</v>
      </c>
      <c r="C59">
        <v>0.86698089391842958</v>
      </c>
    </row>
    <row r="60" spans="1:6" x14ac:dyDescent="0.2">
      <c r="A60" t="s">
        <v>87</v>
      </c>
      <c r="B60">
        <v>0.39487499999999998</v>
      </c>
      <c r="C60">
        <v>0.82680333016797081</v>
      </c>
    </row>
    <row r="61" spans="1:6" x14ac:dyDescent="0.2">
      <c r="A61" t="s">
        <v>88</v>
      </c>
      <c r="B61">
        <v>1.10195</v>
      </c>
      <c r="C61">
        <v>2.3561623915886769</v>
      </c>
    </row>
    <row r="62" spans="1:6" x14ac:dyDescent="0.2">
      <c r="A62" t="s">
        <v>89</v>
      </c>
      <c r="B62">
        <v>0.53422499999999995</v>
      </c>
      <c r="C62">
        <v>1.1386090666394062</v>
      </c>
    </row>
    <row r="63" spans="1:6" x14ac:dyDescent="0.2">
      <c r="A63" t="s">
        <v>90</v>
      </c>
      <c r="B63">
        <v>0.44832499999999997</v>
      </c>
      <c r="C63">
        <v>0.93835677344385204</v>
      </c>
    </row>
    <row r="64" spans="1:6" x14ac:dyDescent="0.2">
      <c r="A64" t="s">
        <v>91</v>
      </c>
      <c r="B64">
        <v>0.41739999999999999</v>
      </c>
      <c r="C64">
        <v>0.87086000561669075</v>
      </c>
    </row>
    <row r="65" spans="1:3" x14ac:dyDescent="0.2">
      <c r="A65" t="s">
        <v>92</v>
      </c>
      <c r="B65">
        <v>0.37212500000000004</v>
      </c>
      <c r="C65">
        <v>0.78624192776879087</v>
      </c>
    </row>
    <row r="66" spans="1:3" x14ac:dyDescent="0.2">
      <c r="A66" t="s">
        <v>93</v>
      </c>
      <c r="B66">
        <v>0.38827499999999998</v>
      </c>
      <c r="C66">
        <v>0.81682246483138155</v>
      </c>
    </row>
    <row r="67" spans="1:3" x14ac:dyDescent="0.2">
      <c r="A67" t="s">
        <v>94</v>
      </c>
      <c r="B67">
        <v>0.35887499999999994</v>
      </c>
      <c r="C67">
        <v>0.75269413032224319</v>
      </c>
    </row>
    <row r="68" spans="1:3" x14ac:dyDescent="0.2">
      <c r="A68" t="s">
        <v>95</v>
      </c>
      <c r="B68">
        <v>0.40832499999999999</v>
      </c>
      <c r="C68">
        <v>0.85868143552978315</v>
      </c>
    </row>
    <row r="69" spans="1:3" x14ac:dyDescent="0.2">
      <c r="A69" t="s">
        <v>96</v>
      </c>
      <c r="B69">
        <v>0.462225</v>
      </c>
      <c r="C69">
        <v>0.9713053929908344</v>
      </c>
    </row>
    <row r="70" spans="1:3" x14ac:dyDescent="0.2">
      <c r="A70" t="s">
        <v>97</v>
      </c>
      <c r="B70">
        <v>0.41349999999999998</v>
      </c>
      <c r="C70">
        <v>0.87655314508463578</v>
      </c>
    </row>
    <row r="71" spans="1:3" x14ac:dyDescent="0.2">
      <c r="A71" t="s">
        <v>98</v>
      </c>
      <c r="B71">
        <v>0.41402499999999998</v>
      </c>
      <c r="C71">
        <v>0.88219862542361849</v>
      </c>
    </row>
    <row r="72" spans="1:3" x14ac:dyDescent="0.2">
      <c r="A72" t="s">
        <v>99</v>
      </c>
      <c r="B72">
        <v>0.48652499999999999</v>
      </c>
      <c r="C72">
        <v>1.0226499440403358</v>
      </c>
    </row>
    <row r="73" spans="1:3" x14ac:dyDescent="0.2">
      <c r="A73" t="s">
        <v>100</v>
      </c>
      <c r="B73">
        <v>1.0963500000000002</v>
      </c>
      <c r="C73">
        <v>2.3133721418468514</v>
      </c>
    </row>
    <row r="74" spans="1:3" x14ac:dyDescent="0.2">
      <c r="A74" t="s">
        <v>101</v>
      </c>
      <c r="B74">
        <v>0.51784999999999992</v>
      </c>
      <c r="C74">
        <v>1.1017093657775086</v>
      </c>
    </row>
    <row r="75" spans="1:3" x14ac:dyDescent="0.2">
      <c r="A75" t="s">
        <v>102</v>
      </c>
      <c r="B75">
        <v>0.43030000000000002</v>
      </c>
      <c r="C75">
        <v>0.90636024155717476</v>
      </c>
    </row>
    <row r="76" spans="1:3" x14ac:dyDescent="0.2">
      <c r="A76" t="s">
        <v>103</v>
      </c>
      <c r="B76">
        <v>0.44697500000000001</v>
      </c>
      <c r="C76">
        <v>0.93969939174723049</v>
      </c>
    </row>
    <row r="77" spans="1:3" x14ac:dyDescent="0.2">
      <c r="A77" t="s">
        <v>104</v>
      </c>
      <c r="B77">
        <v>0.47409999999999997</v>
      </c>
      <c r="C77">
        <v>1.0098609938754799</v>
      </c>
    </row>
    <row r="78" spans="1:3" x14ac:dyDescent="0.2">
      <c r="A78" t="s">
        <v>105</v>
      </c>
      <c r="B78">
        <v>0.40032499999999993</v>
      </c>
      <c r="C78">
        <v>0.84788766057812781</v>
      </c>
    </row>
    <row r="79" spans="1:3" x14ac:dyDescent="0.2">
      <c r="A79" t="s">
        <v>106</v>
      </c>
      <c r="B79">
        <v>0.4279</v>
      </c>
      <c r="C79">
        <v>0.90222345308319651</v>
      </c>
    </row>
    <row r="80" spans="1:3" x14ac:dyDescent="0.2">
      <c r="A80" t="s">
        <v>107</v>
      </c>
      <c r="B80">
        <v>0.44677500000000003</v>
      </c>
      <c r="C80">
        <v>0.93341421802895841</v>
      </c>
    </row>
    <row r="81" spans="1:6" x14ac:dyDescent="0.2">
      <c r="A81" t="s">
        <v>108</v>
      </c>
      <c r="B81">
        <v>0.41757500000000003</v>
      </c>
      <c r="C81">
        <v>0.87919037238262154</v>
      </c>
    </row>
    <row r="82" spans="1:6" x14ac:dyDescent="0.2">
      <c r="A82" t="s">
        <v>109</v>
      </c>
      <c r="B82">
        <v>0.45407500000000001</v>
      </c>
      <c r="C82">
        <v>0.95880285972150037</v>
      </c>
    </row>
    <row r="83" spans="1:6" x14ac:dyDescent="0.2">
      <c r="A83" t="s">
        <v>110</v>
      </c>
      <c r="B83">
        <v>0.44869999999999999</v>
      </c>
      <c r="C83">
        <v>0.95968802274166309</v>
      </c>
    </row>
    <row r="84" spans="1:6" x14ac:dyDescent="0.2">
      <c r="A84" t="s">
        <v>111</v>
      </c>
      <c r="B84">
        <v>0.49364999999999998</v>
      </c>
      <c r="C84">
        <v>1.0411449304067337</v>
      </c>
    </row>
    <row r="85" spans="1:6" x14ac:dyDescent="0.2">
      <c r="A85" t="s">
        <v>112</v>
      </c>
      <c r="B85">
        <v>0.94445000000000001</v>
      </c>
      <c r="C85">
        <v>1.9589227603884045</v>
      </c>
    </row>
    <row r="86" spans="1:6" x14ac:dyDescent="0.2">
      <c r="A86" t="s">
        <v>113</v>
      </c>
      <c r="B86">
        <v>0.56630000000000003</v>
      </c>
      <c r="C86">
        <v>1.2184630927177258</v>
      </c>
    </row>
    <row r="87" spans="1:6" x14ac:dyDescent="0.2">
      <c r="A87" t="s">
        <v>114</v>
      </c>
      <c r="B87">
        <v>0.49835000000000002</v>
      </c>
      <c r="C87">
        <v>1.0484658685430053</v>
      </c>
    </row>
    <row r="88" spans="1:6" x14ac:dyDescent="0.2">
      <c r="A88" t="s">
        <v>115</v>
      </c>
      <c r="B88">
        <v>0.50747500000000001</v>
      </c>
      <c r="C88">
        <v>1.0685182587140809</v>
      </c>
    </row>
    <row r="89" spans="1:6" x14ac:dyDescent="0.2">
      <c r="A89" t="s">
        <v>116</v>
      </c>
      <c r="B89">
        <v>0.48422500000000002</v>
      </c>
      <c r="C89">
        <v>1.0173784382326445</v>
      </c>
    </row>
    <row r="90" spans="1:6" x14ac:dyDescent="0.2">
      <c r="A90" t="s">
        <v>117</v>
      </c>
      <c r="B90">
        <v>0.45302500000000001</v>
      </c>
      <c r="C90">
        <v>0.94763171287116543</v>
      </c>
    </row>
    <row r="91" spans="1:6" x14ac:dyDescent="0.2">
      <c r="A91" t="s">
        <v>118</v>
      </c>
      <c r="B91">
        <v>0.47819999999999996</v>
      </c>
      <c r="C91">
        <v>1.0175879925034235</v>
      </c>
    </row>
    <row r="92" spans="1:6" x14ac:dyDescent="0.2">
      <c r="A92" t="s">
        <v>119</v>
      </c>
      <c r="B92">
        <v>0.449125</v>
      </c>
      <c r="C92">
        <v>0.94815858404235076</v>
      </c>
    </row>
    <row r="93" spans="1:6" x14ac:dyDescent="0.2">
      <c r="A93" t="s">
        <v>120</v>
      </c>
      <c r="B93" s="18">
        <v>4.0734999999999992</v>
      </c>
      <c r="C93" s="18">
        <v>8.7371174236595888</v>
      </c>
      <c r="E93" s="18"/>
      <c r="F93" t="s">
        <v>127</v>
      </c>
    </row>
    <row r="94" spans="1:6" x14ac:dyDescent="0.2">
      <c r="A94" t="s">
        <v>121</v>
      </c>
      <c r="B94">
        <v>0.43335000000000001</v>
      </c>
      <c r="C94">
        <v>0.92012052252286636</v>
      </c>
    </row>
    <row r="95" spans="1:6" x14ac:dyDescent="0.2">
      <c r="A95" t="s">
        <v>122</v>
      </c>
      <c r="B95">
        <v>0.42680000000000001</v>
      </c>
      <c r="C95">
        <v>0.89471243153883062</v>
      </c>
    </row>
    <row r="96" spans="1:6" x14ac:dyDescent="0.2">
      <c r="A96" t="s">
        <v>123</v>
      </c>
      <c r="B96">
        <v>0.48964999999999997</v>
      </c>
      <c r="C96">
        <v>1.0426997230753177</v>
      </c>
    </row>
    <row r="97" spans="1:3" x14ac:dyDescent="0.2">
      <c r="A97" t="s">
        <v>124</v>
      </c>
      <c r="B97">
        <v>1.0061499999999999</v>
      </c>
      <c r="C97">
        <v>2.1188004534383862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final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yu</dc:creator>
  <cp:lastModifiedBy>Yanyi Chu</cp:lastModifiedBy>
  <dcterms:created xsi:type="dcterms:W3CDTF">2025-05-09T01:43:52Z</dcterms:created>
  <dcterms:modified xsi:type="dcterms:W3CDTF">2025-05-12T05:09:16Z</dcterms:modified>
</cp:coreProperties>
</file>